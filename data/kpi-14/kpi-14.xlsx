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ents" sheetId="1" r:id="rId1"/>
    <sheet name="KPI Definition" sheetId="2" r:id="rId2"/>
    <sheet name="Instructions" sheetId="3" r:id="rId3"/>
    <sheet name="Summa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6"/>
  <sheetViews>
    <sheetView workbookViewId="0"/>
  </sheetViews>
  <sheetData>
    <row r="1">
      <c r="A1" t="str">
        <v>Event ID</v>
      </c>
      <c r="B1" t="str">
        <v>Week Ending</v>
      </c>
      <c r="C1" t="str">
        <v>Date</v>
      </c>
      <c r="D1" t="str">
        <v>Document / Training</v>
      </c>
      <c r="E1" t="str">
        <v>Type</v>
      </c>
      <c r="F1" t="str">
        <v>Change Description</v>
      </c>
      <c r="G1" t="str">
        <v>Requested By</v>
      </c>
      <c r="H1" t="str">
        <v>Approval Status</v>
      </c>
      <c r="I1" t="str">
        <v>Reviewed By (HIAA)</v>
      </c>
      <c r="J1" t="str">
        <v>Consent Date</v>
      </c>
      <c r="K1" t="str">
        <v>Damage Points</v>
      </c>
      <c r="L1" t="str">
        <v>Notes</v>
      </c>
    </row>
    <row r="2">
      <c r="A2" t="str">
        <v>DC-001</v>
      </c>
      <c r="B2" t="str">
        <v>2025-01-05</v>
      </c>
      <c r="C2" t="str">
        <v>2025-01-03</v>
      </c>
      <c r="D2" t="str">
        <v>HIAA Onboarding Handbook v3</v>
      </c>
      <c r="E2" t="str">
        <v>Document</v>
      </c>
      <c r="F2" t="str">
        <v>Updated section 4 (safety) formatting</v>
      </c>
      <c r="G2" t="str">
        <v>A. Contractor</v>
      </c>
      <c r="H2" t="str">
        <v>Approved</v>
      </c>
      <c r="I2" t="str">
        <v>J. Reyes (HIAA)</v>
      </c>
      <c r="J2" t="str">
        <v>2025-01-02</v>
      </c>
      <c r="K2">
        <v>0</v>
      </c>
      <c r="L2" t="str">
        <v>Prior written consent on file (email ref #4412).</v>
      </c>
    </row>
    <row r="3">
      <c r="A3" t="str">
        <v>DC-002</v>
      </c>
      <c r="B3" t="str">
        <v>2025-01-12</v>
      </c>
      <c r="C3" t="str">
        <v>2025-01-09</v>
      </c>
      <c r="D3" t="str">
        <v>Site Induction Training</v>
      </c>
      <c r="E3" t="str">
        <v>Training</v>
      </c>
      <c r="F3" t="str">
        <v>Added new PPE slide</v>
      </c>
      <c r="G3" t="str">
        <v>A. Contractor</v>
      </c>
      <c r="H3" t="str">
        <v>Approved</v>
      </c>
      <c r="I3" t="str">
        <v>J. Reyes (HIAA)</v>
      </c>
      <c r="J3" t="str">
        <v>2025-01-08</v>
      </c>
      <c r="K3">
        <v>0</v>
      </c>
      <c r="L3" t="str">
        <v>Approved change request CR-118.</v>
      </c>
    </row>
    <row r="4">
      <c r="A4" t="str">
        <v>DC-003</v>
      </c>
      <c r="B4" t="str">
        <v>2025-01-19</v>
      </c>
      <c r="C4" t="str">
        <v>2025-01-16</v>
      </c>
      <c r="D4" t="str">
        <v>Access Control Policy</v>
      </c>
      <c r="E4" t="str">
        <v>Document</v>
      </c>
      <c r="F4" t="str">
        <v>Clarified badge reissue wording</v>
      </c>
      <c r="G4" t="str">
        <v>A. Contractor</v>
      </c>
      <c r="H4" t="str">
        <v>Approved</v>
      </c>
      <c r="I4" t="str">
        <v>S. Duval (HIAA)</v>
      </c>
      <c r="J4" t="str">
        <v>2025-01-14</v>
      </c>
      <c r="K4">
        <v>0</v>
      </c>
      <c r="L4" t="str">
        <v>CR-121 approved.</v>
      </c>
    </row>
    <row r="5">
      <c r="A5" t="str">
        <v>DC-004</v>
      </c>
      <c r="B5" t="str">
        <v>2025-01-26</v>
      </c>
      <c r="C5" t="str">
        <v>2025-01-23</v>
      </c>
      <c r="D5" t="str">
        <v>Emergency Response Procedure</v>
      </c>
      <c r="E5" t="str">
        <v>Document</v>
      </c>
      <c r="F5" t="str">
        <v>Rewrote evacuation steps without notice</v>
      </c>
      <c r="G5" t="str">
        <v>M. Okoye</v>
      </c>
      <c r="H5" t="str">
        <v>Unauthorized</v>
      </c>
      <c r="I5" t="str">
        <v>—</v>
      </c>
      <c r="J5" t="str">
        <v/>
      </c>
      <c r="K5">
        <v>20</v>
      </c>
      <c r="L5" t="str">
        <v>No written consent obtained. Reverted after audit.</v>
      </c>
    </row>
    <row r="6">
      <c r="A6" t="str">
        <v>DC-005</v>
      </c>
      <c r="B6" t="str">
        <v>2025-02-02</v>
      </c>
      <c r="C6" t="str">
        <v>2025-01-30</v>
      </c>
      <c r="D6" t="str">
        <v>Forklift Certification Module</v>
      </c>
      <c r="E6" t="str">
        <v>Training</v>
      </c>
      <c r="F6" t="str">
        <v>Swapped quiz questions</v>
      </c>
      <c r="G6" t="str">
        <v>A. Contractor</v>
      </c>
      <c r="H6" t="str">
        <v>Approved</v>
      </c>
      <c r="I6" t="str">
        <v>S. Duval (HIAA)</v>
      </c>
      <c r="J6" t="str">
        <v>2025-01-29</v>
      </c>
      <c r="K6">
        <v>0</v>
      </c>
      <c r="L6" t="str">
        <v>CR-128 approved.</v>
      </c>
    </row>
    <row r="7">
      <c r="A7" t="str">
        <v>DC-006</v>
      </c>
      <c r="B7" t="str">
        <v>2025-02-09</v>
      </c>
      <c r="C7" t="str">
        <v>2025-02-06</v>
      </c>
      <c r="D7" t="str">
        <v>Contractor Code of Conduct</v>
      </c>
      <c r="E7" t="str">
        <v>Document</v>
      </c>
      <c r="F7" t="str">
        <v>Typo corrections</v>
      </c>
      <c r="G7" t="str">
        <v>A. Contractor</v>
      </c>
      <c r="H7" t="str">
        <v>Approved</v>
      </c>
      <c r="I7" t="str">
        <v>J. Reyes (HIAA)</v>
      </c>
      <c r="J7" t="str">
        <v>2025-02-05</v>
      </c>
      <c r="K7">
        <v>0</v>
      </c>
      <c r="L7" t="str">
        <v>Minor edit approved via CR-133.</v>
      </c>
    </row>
    <row r="8">
      <c r="A8" t="str">
        <v>DC-007</v>
      </c>
      <c r="B8" t="str">
        <v>2025-02-16</v>
      </c>
      <c r="C8" t="str">
        <v>2025-02-13</v>
      </c>
      <c r="D8" t="str">
        <v>Visitor Sign-in Form</v>
      </c>
      <c r="E8" t="str">
        <v>Document</v>
      </c>
      <c r="F8" t="str">
        <v>Changed data fields without approval</v>
      </c>
      <c r="G8" t="str">
        <v>R. Banerjee</v>
      </c>
      <c r="H8" t="str">
        <v>Unauthorized</v>
      </c>
      <c r="I8" t="str">
        <v>—</v>
      </c>
      <c r="J8" t="str">
        <v/>
      </c>
      <c r="K8">
        <v>20</v>
      </c>
      <c r="L8" t="str">
        <v>Form altered in field. Flagged by HIAA QA.</v>
      </c>
    </row>
    <row r="9">
      <c r="A9" t="str">
        <v>DC-008</v>
      </c>
      <c r="B9" t="str">
        <v>2025-02-23</v>
      </c>
      <c r="C9" t="str">
        <v>2025-02-20</v>
      </c>
      <c r="D9" t="str">
        <v>Hazardous Materials Training</v>
      </c>
      <c r="E9" t="str">
        <v>Training</v>
      </c>
      <c r="F9" t="str">
        <v>Updated regulatory references</v>
      </c>
      <c r="G9" t="str">
        <v>A. Contractor</v>
      </c>
      <c r="H9" t="str">
        <v>Approved</v>
      </c>
      <c r="I9" t="str">
        <v>S. Duval (HIAA)</v>
      </c>
      <c r="J9" t="str">
        <v>2025-02-18</v>
      </c>
      <c r="K9">
        <v>0</v>
      </c>
      <c r="L9" t="str">
        <v>CR-141 approved.</v>
      </c>
    </row>
    <row r="10">
      <c r="A10" t="str">
        <v>DC-009</v>
      </c>
      <c r="B10" t="str">
        <v>2025-03-02</v>
      </c>
      <c r="C10" t="str">
        <v>2025-02-27</v>
      </c>
      <c r="D10" t="str">
        <v>Incident Reporting Guide</v>
      </c>
      <c r="E10" t="str">
        <v>Document</v>
      </c>
      <c r="F10" t="str">
        <v>Reformatted, content unchanged</v>
      </c>
      <c r="G10" t="str">
        <v>A. Contractor</v>
      </c>
      <c r="H10" t="str">
        <v>Approved</v>
      </c>
      <c r="I10" t="str">
        <v>J. Reyes (HIAA)</v>
      </c>
      <c r="J10" t="str">
        <v>2025-02-25</v>
      </c>
      <c r="K10">
        <v>0</v>
      </c>
      <c r="L10" t="str">
        <v>CR-149 approved.</v>
      </c>
    </row>
    <row r="11">
      <c r="A11" t="str">
        <v>DC-010</v>
      </c>
      <c r="B11" t="str">
        <v>2025-03-09</v>
      </c>
      <c r="C11" t="str">
        <v>2025-03-06</v>
      </c>
      <c r="D11" t="str">
        <v>Subcontractor Handbook</v>
      </c>
      <c r="E11" t="str">
        <v>Document</v>
      </c>
      <c r="F11" t="str">
        <v>Added appendix C</v>
      </c>
      <c r="G11" t="str">
        <v>A. Contractor</v>
      </c>
      <c r="H11" t="str">
        <v>Approved</v>
      </c>
      <c r="I11" t="str">
        <v>S. Duval (HIAA)</v>
      </c>
      <c r="J11" t="str">
        <v>2025-03-04</v>
      </c>
      <c r="K11">
        <v>0</v>
      </c>
      <c r="L11" t="str">
        <v>CR-154 approved.</v>
      </c>
    </row>
    <row r="12">
      <c r="A12" t="str">
        <v>DC-011</v>
      </c>
      <c r="B12" t="str">
        <v>2025-03-16</v>
      </c>
      <c r="C12" t="str">
        <v>2025-03-13</v>
      </c>
      <c r="D12" t="str">
        <v>Daily Safety Briefing Deck</v>
      </c>
      <c r="E12" t="str">
        <v>Training</v>
      </c>
      <c r="F12" t="str">
        <v>Replaced imagery in deck without consent</v>
      </c>
      <c r="G12" t="str">
        <v>M. Okoye</v>
      </c>
      <c r="H12" t="str">
        <v>Unauthorized</v>
      </c>
      <c r="I12" t="str">
        <v>—</v>
      </c>
      <c r="J12" t="str">
        <v/>
      </c>
      <c r="K12">
        <v>20</v>
      </c>
      <c r="L12" t="str">
        <v>Unauthorized branding change. Corrected.</v>
      </c>
    </row>
    <row r="13">
      <c r="A13" t="str">
        <v>DC-012</v>
      </c>
      <c r="B13" t="str">
        <v>2025-03-23</v>
      </c>
      <c r="C13" t="str">
        <v>2025-03-20</v>
      </c>
      <c r="D13" t="str">
        <v>Fire Warden Training</v>
      </c>
      <c r="E13" t="str">
        <v>Training</v>
      </c>
      <c r="F13" t="str">
        <v>Updated muster point map</v>
      </c>
      <c r="G13" t="str">
        <v>A. Contractor</v>
      </c>
      <c r="H13" t="str">
        <v>Approved</v>
      </c>
      <c r="I13" t="str">
        <v>J. Reyes (HIAA)</v>
      </c>
      <c r="J13" t="str">
        <v>2025-03-18</v>
      </c>
      <c r="K13">
        <v>0</v>
      </c>
      <c r="L13" t="str">
        <v>CR-162 approved.</v>
      </c>
    </row>
    <row r="14">
      <c r="A14" t="str">
        <v>DC-013</v>
      </c>
      <c r="B14" t="str">
        <v>2025-03-30</v>
      </c>
      <c r="C14" t="str">
        <v>2025-03-27</v>
      </c>
      <c r="D14" t="str">
        <v>Quality Assurance Manual</v>
      </c>
      <c r="E14" t="str">
        <v>Document</v>
      </c>
      <c r="F14" t="str">
        <v>Revised acceptance criteria</v>
      </c>
      <c r="G14" t="str">
        <v>A. Contractor</v>
      </c>
      <c r="H14" t="str">
        <v>Approved</v>
      </c>
      <c r="I14" t="str">
        <v>S. Duval (HIAA)</v>
      </c>
      <c r="J14" t="str">
        <v>2025-03-25</v>
      </c>
      <c r="K14">
        <v>0</v>
      </c>
      <c r="L14" t="str">
        <v>CR-168 approved.</v>
      </c>
    </row>
    <row r="15">
      <c r="A15" t="str">
        <v>DC-014</v>
      </c>
      <c r="B15" t="str">
        <v>2025-04-06</v>
      </c>
      <c r="C15" t="str">
        <v>2025-04-03</v>
      </c>
      <c r="D15" t="str">
        <v>Environmental Compliance Guide</v>
      </c>
      <c r="E15" t="str">
        <v>Document</v>
      </c>
      <c r="F15" t="str">
        <v>Updated waste disposal section</v>
      </c>
      <c r="G15" t="str">
        <v>A. Contractor</v>
      </c>
      <c r="H15" t="str">
        <v>Approved</v>
      </c>
      <c r="I15" t="str">
        <v>S. Duval (HIAA)</v>
      </c>
      <c r="J15" t="str">
        <v>2025-04-01</v>
      </c>
      <c r="K15">
        <v>0</v>
      </c>
      <c r="L15" t="str">
        <v>CR-173 approved.</v>
      </c>
    </row>
    <row r="16">
      <c r="A16" t="str">
        <v>DC-015</v>
      </c>
      <c r="B16" t="str">
        <v>2025-04-13</v>
      </c>
      <c r="C16" t="str">
        <v>2025-04-10</v>
      </c>
      <c r="D16" t="str">
        <v>First Aid Refresher</v>
      </c>
      <c r="E16" t="str">
        <v>Training</v>
      </c>
      <c r="F16" t="str">
        <v>Added CPR update</v>
      </c>
      <c r="G16" t="str">
        <v>A. Contractor</v>
      </c>
      <c r="H16" t="str">
        <v>Approved</v>
      </c>
      <c r="I16" t="str">
        <v>J. Reyes (HIAA)</v>
      </c>
      <c r="J16" t="str">
        <v>2025-04-08</v>
      </c>
      <c r="K16">
        <v>0</v>
      </c>
      <c r="L16" t="str">
        <v>CR-179 approved.</v>
      </c>
    </row>
    <row r="17">
      <c r="A17" t="str">
        <v>DC-016</v>
      </c>
      <c r="B17" t="str">
        <v>2025-04-20</v>
      </c>
      <c r="C17" t="str">
        <v>2025-04-17</v>
      </c>
      <c r="D17" t="str">
        <v>Lockout / Tagout Procedure</v>
      </c>
      <c r="E17" t="str">
        <v>Document</v>
      </c>
      <c r="F17" t="str">
        <v>Edited without written consent</v>
      </c>
      <c r="G17" t="str">
        <v>R. Banerjee</v>
      </c>
      <c r="H17" t="str">
        <v>Unauthorized</v>
      </c>
      <c r="I17" t="str">
        <v>—</v>
      </c>
      <c r="J17" t="str">
        <v/>
      </c>
      <c r="K17">
        <v>20</v>
      </c>
      <c r="L17" t="str">
        <v>Change made ahead of approval. Rolled back.</v>
      </c>
    </row>
    <row r="18">
      <c r="A18" t="str">
        <v>DC-017</v>
      </c>
      <c r="B18" t="str">
        <v>2025-04-27</v>
      </c>
      <c r="C18" t="str">
        <v>2025-04-24</v>
      </c>
      <c r="D18" t="str">
        <v>Security Escort Policy</v>
      </c>
      <c r="E18" t="str">
        <v>Document</v>
      </c>
      <c r="F18" t="str">
        <v>Clarified escort ratios</v>
      </c>
      <c r="G18" t="str">
        <v>A. Contractor</v>
      </c>
      <c r="H18" t="str">
        <v>Approved</v>
      </c>
      <c r="I18" t="str">
        <v>S. Duval (HIAA)</v>
      </c>
      <c r="J18" t="str">
        <v>2025-04-22</v>
      </c>
      <c r="K18">
        <v>0</v>
      </c>
      <c r="L18" t="str">
        <v>CR-188 approved.</v>
      </c>
    </row>
    <row r="19">
      <c r="A19" t="str">
        <v>DC-018</v>
      </c>
      <c r="B19" t="str">
        <v>2025-05-04</v>
      </c>
      <c r="C19" t="str">
        <v>2025-05-01</v>
      </c>
      <c r="D19" t="str">
        <v>Confined Space Training</v>
      </c>
      <c r="E19" t="str">
        <v>Training</v>
      </c>
      <c r="F19" t="str">
        <v>Added atmosphere testing slide</v>
      </c>
      <c r="G19" t="str">
        <v>A. Contractor</v>
      </c>
      <c r="H19" t="str">
        <v>Approved</v>
      </c>
      <c r="I19" t="str">
        <v>J. Reyes (HIAA)</v>
      </c>
      <c r="J19" t="str">
        <v>2025-04-29</v>
      </c>
      <c r="K19">
        <v>0</v>
      </c>
      <c r="L19" t="str">
        <v>CR-194 approved.</v>
      </c>
    </row>
    <row r="20">
      <c r="A20" t="str">
        <v>DC-019</v>
      </c>
      <c r="B20" t="str">
        <v>2025-05-11</v>
      </c>
      <c r="C20" t="str">
        <v>2025-05-08</v>
      </c>
      <c r="D20" t="str">
        <v>Contractor Handbook (index)</v>
      </c>
      <c r="E20" t="str">
        <v>Document</v>
      </c>
      <c r="F20" t="str">
        <v>Regenerated table of contents</v>
      </c>
      <c r="G20" t="str">
        <v>A. Contractor</v>
      </c>
      <c r="H20" t="str">
        <v>Approved</v>
      </c>
      <c r="I20" t="str">
        <v>S. Duval (HIAA)</v>
      </c>
      <c r="J20" t="str">
        <v>2025-05-06</v>
      </c>
      <c r="K20">
        <v>0</v>
      </c>
      <c r="L20" t="str">
        <v>CR-199 approved.</v>
      </c>
    </row>
    <row r="21">
      <c r="A21" t="str">
        <v>DC-020</v>
      </c>
      <c r="B21" t="str">
        <v>2025-05-18</v>
      </c>
      <c r="C21" t="str">
        <v>2025-05-15</v>
      </c>
      <c r="D21" t="str">
        <v>Working at Heights Module</v>
      </c>
      <c r="E21" t="str">
        <v>Training</v>
      </c>
      <c r="F21" t="str">
        <v>Updated harness diagram</v>
      </c>
      <c r="G21" t="str">
        <v>A. Contractor</v>
      </c>
      <c r="H21" t="str">
        <v>Approved</v>
      </c>
      <c r="I21" t="str">
        <v>J. Reyes (HIAA)</v>
      </c>
      <c r="J21" t="str">
        <v>2025-05-13</v>
      </c>
      <c r="K21">
        <v>0</v>
      </c>
      <c r="L21" t="str">
        <v>CR-205 approved.</v>
      </c>
    </row>
    <row r="22">
      <c r="A22" t="str">
        <v>DC-021</v>
      </c>
      <c r="B22" t="str">
        <v>2025-05-25</v>
      </c>
      <c r="C22" t="str">
        <v>2025-05-22</v>
      </c>
      <c r="D22" t="str">
        <v>Site Access Map</v>
      </c>
      <c r="E22" t="str">
        <v>Document</v>
      </c>
      <c r="F22" t="str">
        <v>Corrected gate numbering</v>
      </c>
      <c r="G22" t="str">
        <v>A. Contractor</v>
      </c>
      <c r="H22" t="str">
        <v>Approved</v>
      </c>
      <c r="I22" t="str">
        <v>S. Duval (HIAA)</v>
      </c>
      <c r="J22" t="str">
        <v>2025-05-20</v>
      </c>
      <c r="K22">
        <v>0</v>
      </c>
      <c r="L22" t="str">
        <v>CR-211 approved.</v>
      </c>
    </row>
    <row r="23">
      <c r="A23" t="str">
        <v>DC-022</v>
      </c>
      <c r="B23" t="str">
        <v>2025-06-01</v>
      </c>
      <c r="C23" t="str">
        <v>2025-05-29</v>
      </c>
      <c r="D23" t="str">
        <v>Permit to Work Form</v>
      </c>
      <c r="E23" t="str">
        <v>Document</v>
      </c>
      <c r="F23" t="str">
        <v>Added signature field</v>
      </c>
      <c r="G23" t="str">
        <v>A. Contractor</v>
      </c>
      <c r="H23" t="str">
        <v>Approved</v>
      </c>
      <c r="I23" t="str">
        <v>J. Reyes (HIAA)</v>
      </c>
      <c r="J23" t="str">
        <v>2025-05-27</v>
      </c>
      <c r="K23">
        <v>0</v>
      </c>
      <c r="L23" t="str">
        <v>CR-216 approved.</v>
      </c>
    </row>
    <row r="24">
      <c r="A24" t="str">
        <v>DC-023</v>
      </c>
      <c r="B24" t="str">
        <v>2025-06-08</v>
      </c>
      <c r="C24" t="str">
        <v>2025-06-05</v>
      </c>
      <c r="D24" t="str">
        <v>Spill Response Training</v>
      </c>
      <c r="E24" t="str">
        <v>Training</v>
      </c>
      <c r="F24" t="str">
        <v>Refreshed containment steps</v>
      </c>
      <c r="G24" t="str">
        <v>A. Contractor</v>
      </c>
      <c r="H24" t="str">
        <v>Approved</v>
      </c>
      <c r="I24" t="str">
        <v>S. Duval (HIAA)</v>
      </c>
      <c r="J24" t="str">
        <v>2025-06-03</v>
      </c>
      <c r="K24">
        <v>0</v>
      </c>
      <c r="L24" t="str">
        <v>CR-222 approved.</v>
      </c>
    </row>
    <row r="25">
      <c r="A25" t="str">
        <v>DC-024</v>
      </c>
      <c r="B25" t="str">
        <v>2025-06-15</v>
      </c>
      <c r="C25" t="str">
        <v>2025-06-12</v>
      </c>
      <c r="D25" t="str">
        <v>Emergency Contacts Sheet</v>
      </c>
      <c r="E25" t="str">
        <v>Document</v>
      </c>
      <c r="F25" t="str">
        <v>Swapped contacts without consent</v>
      </c>
      <c r="G25" t="str">
        <v>M. Okoye</v>
      </c>
      <c r="H25" t="str">
        <v>Unauthorized</v>
      </c>
      <c r="I25" t="str">
        <v>—</v>
      </c>
      <c r="J25" t="str">
        <v/>
      </c>
      <c r="K25">
        <v>20</v>
      </c>
      <c r="L25" t="str">
        <v>Unauthorized update discovered in audit. Corrected.</v>
      </c>
    </row>
    <row r="26">
      <c r="A26" t="str">
        <v>DC-025</v>
      </c>
      <c r="B26" t="str">
        <v>2025-06-22</v>
      </c>
      <c r="C26" t="str">
        <v>2025-06-19</v>
      </c>
      <c r="D26" t="str">
        <v>Toolbox Talk Series</v>
      </c>
      <c r="E26" t="str">
        <v>Training</v>
      </c>
      <c r="F26" t="str">
        <v>Added weekly topic</v>
      </c>
      <c r="G26" t="str">
        <v>A. Contractor</v>
      </c>
      <c r="H26" t="str">
        <v>Approved</v>
      </c>
      <c r="I26" t="str">
        <v>J. Reyes (HIAA)</v>
      </c>
      <c r="J26" t="str">
        <v>2025-06-17</v>
      </c>
      <c r="K26">
        <v>0</v>
      </c>
      <c r="L26" t="str">
        <v>CR-231 approved.</v>
      </c>
    </row>
  </sheetData>
  <ignoredErrors>
    <ignoredError numberStoredAsText="1" sqref="A1:L26"/>
  </ignoredErrors>
</worksheet>
</file>

<file path=xl/worksheets/sheet2.xml><?xml version="1.0" encoding="utf-8"?>
<worksheet xmlns="http://schemas.openxmlformats.org/spreadsheetml/2006/main" xmlns:r="http://schemas.openxmlformats.org/officeDocument/2006/relationships">
  <dimension ref="A1:G6"/>
  <sheetViews>
    <sheetView workbookViewId="0"/>
  </sheetViews>
  <sheetData>
    <row r="1">
      <c r="A1" t="str">
        <v>KPI-14</v>
      </c>
      <c r="B1" t="str">
        <v>Document Changes</v>
      </c>
    </row>
    <row r="3">
      <c r="A3" t="str">
        <v>Calculation</v>
      </c>
      <c r="B3" t="str">
        <v>The Contractor may not make changes to any HIAA provided documents or training without prior written consent of HIAA. Documents, training, changed without written approval will count as one (1) event.</v>
      </c>
    </row>
    <row r="5">
      <c r="A5" t="str">
        <v>Threshold</v>
      </c>
      <c r="B5" t="str">
        <v>Fail</v>
      </c>
      <c r="C5">
        <v>1</v>
      </c>
      <c r="D5" t="str">
        <v>Target</v>
      </c>
      <c r="E5">
        <v>0</v>
      </c>
      <c r="F5" t="str">
        <v>Success</v>
      </c>
      <c r="G5" t="str">
        <v>n/a</v>
      </c>
    </row>
    <row r="6">
      <c r="A6" t="str">
        <v>Damage points</v>
      </c>
      <c r="B6" t="str">
        <v>20 per event</v>
      </c>
      <c r="C6" t="str">
        <v/>
      </c>
      <c r="D6" t="str">
        <v>Advantage Points</v>
      </c>
      <c r="E6" t="str">
        <v>n/a</v>
      </c>
    </row>
  </sheetData>
  <ignoredErrors>
    <ignoredError numberStoredAsText="1" sqref="A1:G6"/>
  </ignoredErrors>
</worksheet>
</file>

<file path=xl/worksheets/sheet3.xml><?xml version="1.0" encoding="utf-8"?>
<worksheet xmlns="http://schemas.openxmlformats.org/spreadsheetml/2006/main" xmlns:r="http://schemas.openxmlformats.org/officeDocument/2006/relationships">
  <dimension ref="A1:C22"/>
  <sheetViews>
    <sheetView workbookViewId="0"/>
  </sheetViews>
  <sheetData>
    <row r="1">
      <c r="A1" t="str">
        <v>How to update this workbook (weekly)</v>
      </c>
    </row>
    <row r="3">
      <c r="A3" t="str">
        <v>1.</v>
      </c>
      <c r="B3" t="str">
        <v>Open the 'Events' sheet. Each row is one reviewed document/training change.</v>
      </c>
    </row>
    <row r="4">
      <c r="A4" t="str">
        <v>2.</v>
      </c>
      <c r="B4" t="str">
        <v>Add a new row at the bottom every week for each change that occurred.</v>
      </c>
    </row>
    <row r="5">
      <c r="A5" t="str">
        <v>3.</v>
      </c>
      <c r="B5" t="str">
        <v>Keep the column order exactly as the header row — do not rename or reorder columns.</v>
      </c>
    </row>
    <row r="6">
      <c r="A6" t="str">
        <v>4.</v>
      </c>
      <c r="B6" t="str">
        <v>Save the file as kpi-14-events.xlsx and re-upload / replace it in the dashboard.</v>
      </c>
    </row>
    <row r="8">
      <c r="A8" t="str">
        <v>Column</v>
      </c>
      <c r="B8" t="str">
        <v>What to enter</v>
      </c>
      <c r="C8" t="str">
        <v>Example</v>
      </c>
    </row>
    <row r="9">
      <c r="A9" t="str">
        <v>Event ID</v>
      </c>
      <c r="B9" t="str">
        <v>Unique ID, format DC-###, increment by 1.</v>
      </c>
      <c r="C9" t="str">
        <v>DC-031</v>
      </c>
    </row>
    <row r="10">
      <c r="A10" t="str">
        <v>Week Ending</v>
      </c>
      <c r="B10" t="str">
        <v>Sunday date of the reporting week (YYYY-MM-DD).</v>
      </c>
      <c r="C10" t="str">
        <v>2025-08-03</v>
      </c>
    </row>
    <row r="11">
      <c r="A11" t="str">
        <v>Date</v>
      </c>
      <c r="B11" t="str">
        <v>Actual date the change was made/reviewed (YYYY-MM-DD).</v>
      </c>
      <c r="C11" t="str">
        <v>2025-07-31</v>
      </c>
    </row>
    <row r="12">
      <c r="A12" t="str">
        <v>Document / Training</v>
      </c>
      <c r="B12" t="str">
        <v>Name of the HIAA document or training affected.</v>
      </c>
      <c r="C12" t="str">
        <v>Site Induction Training</v>
      </c>
    </row>
    <row r="13">
      <c r="A13" t="str">
        <v>Type</v>
      </c>
      <c r="B13" t="str">
        <v>Either 'Document' or 'Training'.</v>
      </c>
      <c r="C13" t="str">
        <v>Document</v>
      </c>
    </row>
    <row r="14">
      <c r="A14" t="str">
        <v>Change Description</v>
      </c>
      <c r="B14" t="str">
        <v>Short description of what changed.</v>
      </c>
      <c r="C14" t="str">
        <v>Updated PPE section</v>
      </c>
    </row>
    <row r="15">
      <c r="A15" t="str">
        <v>Requested By</v>
      </c>
      <c r="B15" t="str">
        <v>Person who made / requested the change.</v>
      </c>
      <c r="C15" t="str">
        <v>A. Contractor</v>
      </c>
    </row>
    <row r="16">
      <c r="A16" t="str">
        <v>Approval Status</v>
      </c>
      <c r="B16" t="str">
        <v>'Approved', 'Unauthorized', or 'Pending'.</v>
      </c>
      <c r="C16" t="str">
        <v>Approved</v>
      </c>
    </row>
    <row r="17">
      <c r="A17" t="str">
        <v>Reviewed By (HIAA)</v>
      </c>
      <c r="B17" t="str">
        <v>HIAA reviewer who gave consent (or '—' / 'In review').</v>
      </c>
      <c r="C17" t="str">
        <v>J. Reyes (HIAA)</v>
      </c>
    </row>
    <row r="18">
      <c r="A18" t="str">
        <v>Consent Date</v>
      </c>
      <c r="B18" t="str">
        <v>Date HIAA gave written consent (blank if none).</v>
      </c>
      <c r="C18" t="str">
        <v>2025-07-29</v>
      </c>
    </row>
    <row r="19">
      <c r="A19" t="str">
        <v>Damage Points</v>
      </c>
      <c r="B19" t="str">
        <v>0 if approved/pending. Enter 20 for each Unauthorized change.</v>
      </c>
      <c r="C19" t="str">
        <v>0</v>
      </c>
    </row>
    <row r="20">
      <c r="A20" t="str">
        <v>Notes</v>
      </c>
      <c r="B20" t="str">
        <v>Reference number, audit note, or any context.</v>
      </c>
      <c r="C20" t="str">
        <v>CR-268 approved.</v>
      </c>
    </row>
    <row r="22">
      <c r="A22" t="str">
        <v>Reminder</v>
      </c>
      <c r="B22" t="str">
        <v>Each 'Unauthorized' change = 1 event = 20 damage points. Target is 0 unauthorized events.</v>
      </c>
    </row>
  </sheetData>
  <ignoredErrors>
    <ignoredError numberStoredAsText="1" sqref="A1:C22"/>
  </ignoredErrors>
</worksheet>
</file>

<file path=xl/worksheets/sheet4.xml><?xml version="1.0" encoding="utf-8"?>
<worksheet xmlns="http://schemas.openxmlformats.org/spreadsheetml/2006/main" xmlns:r="http://schemas.openxmlformats.org/officeDocument/2006/relationships">
  <dimension ref="A1:B6"/>
  <sheetViews>
    <sheetView workbookViewId="0"/>
  </sheetViews>
  <cols>
    <col min="1" max="1" width="34.83203125" customWidth="1"/>
    <col min="2" max="2" width="20.83203125" customWidth="1"/>
  </cols>
  <sheetData>
    <row r="1">
      <c r="A1" t="str">
        <v>KPI-14 — Summary</v>
      </c>
    </row>
    <row r="2">
      <c r="A2" t="str">
        <v>Metric</v>
      </c>
      <c r="B2" t="str">
        <v>Value</v>
      </c>
    </row>
    <row r="3">
      <c r="A3" t="str">
        <v>Total Records</v>
      </c>
      <c r="B3" t="e">
        <f>COUNTA('Events'!A2:A26)</f>
      </c>
    </row>
    <row r="4">
      <c r="A4" t="str">
        <v>Total Damage Points</v>
      </c>
      <c r="B4" t="e">
        <f>SUM('Events'!K2:K26)</f>
      </c>
    </row>
    <row r="5">
      <c r="A5" t="str">
        <v>Avg Damage / Record</v>
      </c>
      <c r="B5" t="e">
        <f>IFERROR(AVERAGE('Events'!K2:K26),0)</f>
      </c>
    </row>
    <row r="6">
      <c r="A6" t="str">
        <v>Records With Damage</v>
      </c>
      <c r="B6" t="e">
        <f>COUNTIF('Events'!K2:K26,"&gt;0")</f>
      </c>
    </row>
  </sheetData>
  <ignoredErrors>
    <ignoredError numberStoredAsText="1" sqref="A1:B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Events</vt:lpstr>
      <vt:lpstr>KPI Definition</vt:lpstr>
      <vt:lpstr>Instructions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