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ents" sheetId="1" r:id="rId1"/>
    <sheet name="Fleet" sheetId="2" r:id="rId2"/>
    <sheet name="KPI Definition" sheetId="3" r:id="rId3"/>
    <sheet name="How To Update" sheetId="4" r:id="rId4"/>
    <sheet name="Summar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
  <sheetViews>
    <sheetView workbookViewId="0"/>
  </sheetViews>
  <sheetData>
    <row r="1">
      <c r="A1" t="str">
        <v>Event ID</v>
      </c>
      <c r="B1" t="str">
        <v>Week Ending</v>
      </c>
      <c r="C1" t="str">
        <v>Incident Date</v>
      </c>
      <c r="D1" t="str">
        <v>Vehicle ID</v>
      </c>
      <c r="E1" t="str">
        <v>Event Type</v>
      </c>
      <c r="F1" t="str">
        <v>Description</v>
      </c>
      <c r="G1" t="str">
        <v>Location</v>
      </c>
      <c r="H1" t="str">
        <v>Reported By</v>
      </c>
      <c r="I1" t="str">
        <v>Status</v>
      </c>
      <c r="J1" t="str">
        <v>Damage Points</v>
      </c>
    </row>
    <row r="2">
      <c r="A2" t="str">
        <v>EV-001</v>
      </c>
      <c r="B2" t="str">
        <v>2026-01-09</v>
      </c>
      <c r="C2" t="str">
        <v>2026-01-07</v>
      </c>
      <c r="D2" t="str">
        <v>HIAA-V03</v>
      </c>
      <c r="E2" t="str">
        <v>Missing Requirement</v>
      </c>
      <c r="F2" t="str">
        <v>Amber warning beacon inoperable; not equipped per HIAA Traffic Directives.</v>
      </c>
      <c r="G2" t="str">
        <v>Airside - Apron B</v>
      </c>
      <c r="H2" t="str">
        <v>J. MacDonald</v>
      </c>
      <c r="I2" t="str">
        <v>Resolved</v>
      </c>
      <c r="J2">
        <v>10</v>
      </c>
    </row>
    <row r="3">
      <c r="A3" t="str">
        <v>EV-002</v>
      </c>
      <c r="B3" t="str">
        <v>2026-01-23</v>
      </c>
      <c r="C3" t="str">
        <v>2026-01-21</v>
      </c>
      <c r="D3" t="str">
        <v>HIAA-V10</v>
      </c>
      <c r="E3" t="str">
        <v>Missing Requirement</v>
      </c>
      <c r="F3" t="str">
        <v>Fire extinguisher expired; not compliant with NS Dept. of Justice regulations.</v>
      </c>
      <c r="G3" t="str">
        <v>Airside - Gate 12</v>
      </c>
      <c r="H3" t="str">
        <v>S. Comeau</v>
      </c>
      <c r="I3" t="str">
        <v>Resolved</v>
      </c>
      <c r="J3">
        <v>10</v>
      </c>
    </row>
    <row r="4">
      <c r="A4" t="str">
        <v>EV-003</v>
      </c>
      <c r="B4" t="str">
        <v>2026-02-06</v>
      </c>
      <c r="C4" t="str">
        <v>2026-02-04</v>
      </c>
      <c r="D4" t="str">
        <v>HIAA-V07</v>
      </c>
      <c r="E4" t="str">
        <v>Missing Requirement</v>
      </c>
      <c r="F4" t="str">
        <v>Faded livery and visible body damage; below required visual standard.</v>
      </c>
      <c r="G4" t="str">
        <v>Groundside - Terminal Loop</v>
      </c>
      <c r="H4" t="str">
        <v>A. Boudreau</v>
      </c>
      <c r="I4" t="str">
        <v>Resolved</v>
      </c>
      <c r="J4">
        <v>10</v>
      </c>
    </row>
    <row r="5">
      <c r="A5" t="str">
        <v>EV-004</v>
      </c>
      <c r="B5" t="str">
        <v>2026-02-06</v>
      </c>
      <c r="C5" t="str">
        <v>2026-02-05</v>
      </c>
      <c r="D5" t="str">
        <v>HIAA-V03</v>
      </c>
      <c r="E5" t="str">
        <v>Missing Requirement</v>
      </c>
      <c r="F5" t="str">
        <v>Missing first-aid kit and reflective signage.</v>
      </c>
      <c r="G5" t="str">
        <v>Airside - Apron A</v>
      </c>
      <c r="H5" t="str">
        <v>J. MacDonald</v>
      </c>
      <c r="I5" t="str">
        <v>Resolved</v>
      </c>
      <c r="J5">
        <v>10</v>
      </c>
    </row>
    <row r="6">
      <c r="A6" t="str">
        <v>EV-005</v>
      </c>
      <c r="B6" t="str">
        <v>2026-02-20</v>
      </c>
      <c r="C6" t="str">
        <v>2026-02-18</v>
      </c>
      <c r="D6" t="str">
        <v>HIAA-V10</v>
      </c>
      <c r="E6" t="str">
        <v>Missing Requirement</v>
      </c>
      <c r="F6" t="str">
        <v>Cracked windshield obstructing view; not maintained in good repair.</v>
      </c>
      <c r="G6" t="str">
        <v>Groundside - Parkade</v>
      </c>
      <c r="H6" t="str">
        <v>S. Comeau</v>
      </c>
      <c r="I6" t="str">
        <v>Resolved</v>
      </c>
      <c r="J6">
        <v>10</v>
      </c>
    </row>
    <row r="7">
      <c r="A7" t="str">
        <v>EV-006</v>
      </c>
      <c r="B7" t="str">
        <v>2026-03-06</v>
      </c>
      <c r="C7" t="str">
        <v>2026-03-03</v>
      </c>
      <c r="D7" t="str">
        <v>HIAA-V07</v>
      </c>
      <c r="E7" t="str">
        <v>Removed Without Replacement</v>
      </c>
      <c r="F7" t="str">
        <v>Vehicle pulled for repairs and not replaced on site for the shift.</v>
      </c>
      <c r="G7" t="str">
        <v>Maintenance Bay</v>
      </c>
      <c r="H7" t="str">
        <v>A. Boudreau</v>
      </c>
      <c r="I7" t="str">
        <v>Resolved</v>
      </c>
      <c r="J7">
        <v>10</v>
      </c>
    </row>
    <row r="8">
      <c r="A8" t="str">
        <v>EV-007</v>
      </c>
      <c r="B8" t="str">
        <v>2026-03-20</v>
      </c>
      <c r="C8" t="str">
        <v>2026-03-17</v>
      </c>
      <c r="D8" t="str">
        <v>HIAA-V03</v>
      </c>
      <c r="E8" t="str">
        <v>Missing Requirement</v>
      </c>
      <c r="F8" t="str">
        <v>Non-functional emergency lighting bar.</v>
      </c>
      <c r="G8" t="str">
        <v>Airside - Taxiway C</v>
      </c>
      <c r="H8" t="str">
        <v>J. MacDonald</v>
      </c>
      <c r="I8" t="str">
        <v>Resolved</v>
      </c>
      <c r="J8">
        <v>10</v>
      </c>
    </row>
    <row r="9">
      <c r="A9" t="str">
        <v>EV-008</v>
      </c>
      <c r="B9" t="str">
        <v>2026-03-27</v>
      </c>
      <c r="C9" t="str">
        <v>2026-03-25</v>
      </c>
      <c r="D9" t="str">
        <v>HIAA-V09</v>
      </c>
      <c r="E9" t="str">
        <v>Missing Requirement</v>
      </c>
      <c r="F9" t="str">
        <v>Expired vehicle registration decal.</v>
      </c>
      <c r="G9" t="str">
        <v>Groundside - Terminal Loop</v>
      </c>
      <c r="H9" t="str">
        <v>S. Comeau</v>
      </c>
      <c r="I9" t="str">
        <v>Resolved</v>
      </c>
      <c r="J9">
        <v>10</v>
      </c>
    </row>
    <row r="10">
      <c r="A10" t="str">
        <v>EV-009</v>
      </c>
      <c r="B10" t="str">
        <v>2026-04-03</v>
      </c>
      <c r="C10" t="str">
        <v>2026-04-01</v>
      </c>
      <c r="D10" t="str">
        <v>HIAA-V10</v>
      </c>
      <c r="E10" t="str">
        <v>Missing Requirement</v>
      </c>
      <c r="F10" t="str">
        <v>Worn tires below legal tread depth.</v>
      </c>
      <c r="G10" t="str">
        <v>Airside - Apron B</v>
      </c>
      <c r="H10" t="str">
        <v>A. Boudreau</v>
      </c>
      <c r="I10" t="str">
        <v>Resolved</v>
      </c>
      <c r="J10">
        <v>10</v>
      </c>
    </row>
    <row r="11">
      <c r="A11" t="str">
        <v>EV-010</v>
      </c>
      <c r="B11" t="str">
        <v>2026-04-17</v>
      </c>
      <c r="C11" t="str">
        <v>2026-04-15</v>
      </c>
      <c r="D11" t="str">
        <v>HIAA-V03</v>
      </c>
      <c r="E11" t="str">
        <v>Missing Requirement</v>
      </c>
      <c r="F11" t="str">
        <v>Inoperable brake lights; not maintained in good repair.</v>
      </c>
      <c r="G11" t="str">
        <v>Groundside - Parkade</v>
      </c>
      <c r="H11" t="str">
        <v>J. MacDonald</v>
      </c>
      <c r="I11" t="str">
        <v>Resolved</v>
      </c>
      <c r="J11">
        <v>10</v>
      </c>
    </row>
    <row r="12">
      <c r="A12" t="str">
        <v>EV-011</v>
      </c>
      <c r="B12" t="str">
        <v>2026-04-24</v>
      </c>
      <c r="C12" t="str">
        <v>2026-04-22</v>
      </c>
      <c r="D12" t="str">
        <v>HIAA-V07</v>
      </c>
      <c r="E12" t="str">
        <v>Removed Without Replacement</v>
      </c>
      <c r="F12" t="str">
        <v>Removed from site for engine fault without a replacement unit.</v>
      </c>
      <c r="G12" t="str">
        <v>Maintenance Bay</v>
      </c>
      <c r="H12" t="str">
        <v>S. Comeau</v>
      </c>
      <c r="I12" t="str">
        <v>Resolved</v>
      </c>
      <c r="J12">
        <v>10</v>
      </c>
    </row>
    <row r="13">
      <c r="A13" t="str">
        <v>EV-012</v>
      </c>
      <c r="B13" t="str">
        <v>2026-05-01</v>
      </c>
      <c r="C13" t="str">
        <v>2026-04-29</v>
      </c>
      <c r="D13" t="str">
        <v>HIAA-V05</v>
      </c>
      <c r="E13" t="str">
        <v>Missing Requirement</v>
      </c>
      <c r="F13" t="str">
        <v>Missing required high-visibility equipment kit.</v>
      </c>
      <c r="G13" t="str">
        <v>Airside - Gate 8</v>
      </c>
      <c r="H13" t="str">
        <v>A. Boudreau</v>
      </c>
      <c r="I13" t="str">
        <v>Resolved</v>
      </c>
      <c r="J13">
        <v>10</v>
      </c>
    </row>
    <row r="14">
      <c r="A14" t="str">
        <v>EV-013</v>
      </c>
      <c r="B14" t="str">
        <v>2026-05-08</v>
      </c>
      <c r="C14" t="str">
        <v>2026-05-06</v>
      </c>
      <c r="D14" t="str">
        <v>HIAA-V10</v>
      </c>
      <c r="E14" t="str">
        <v>Missing Requirement</v>
      </c>
      <c r="F14" t="str">
        <v>Damaged side mirror; below visual standard.</v>
      </c>
      <c r="G14" t="str">
        <v>Groundside - Terminal Loop</v>
      </c>
      <c r="H14" t="str">
        <v>J. MacDonald</v>
      </c>
      <c r="I14" t="str">
        <v>Resolved</v>
      </c>
      <c r="J14">
        <v>10</v>
      </c>
    </row>
    <row r="15">
      <c r="A15" t="str">
        <v>EV-014</v>
      </c>
      <c r="B15" t="str">
        <v>2026-05-08</v>
      </c>
      <c r="C15" t="str">
        <v>2026-05-07</v>
      </c>
      <c r="D15" t="str">
        <v>HIAA-V03</v>
      </c>
      <c r="E15" t="str">
        <v>Missing Requirement</v>
      </c>
      <c r="F15" t="str">
        <v>Warning beacon lens cracked and dim.</v>
      </c>
      <c r="G15" t="str">
        <v>Airside - Apron A</v>
      </c>
      <c r="H15" t="str">
        <v>S. Comeau</v>
      </c>
      <c r="I15" t="str">
        <v>Resolved</v>
      </c>
      <c r="J15">
        <v>10</v>
      </c>
    </row>
    <row r="16">
      <c r="A16" t="str">
        <v>EV-015</v>
      </c>
      <c r="B16" t="str">
        <v>2026-05-22</v>
      </c>
      <c r="C16" t="str">
        <v>2026-05-20</v>
      </c>
      <c r="D16" t="str">
        <v>HIAA-V02</v>
      </c>
      <c r="E16" t="str">
        <v>Missing Requirement</v>
      </c>
      <c r="F16" t="str">
        <v>Seatbelt retractor faulty; NS Dept. of Justice non-compliance.</v>
      </c>
      <c r="G16" t="str">
        <v>Airside - Taxiway C</v>
      </c>
      <c r="H16" t="str">
        <v>A. Boudreau</v>
      </c>
      <c r="I16" t="str">
        <v>Resolved</v>
      </c>
      <c r="J16">
        <v>10</v>
      </c>
    </row>
    <row r="17">
      <c r="A17" t="str">
        <v>EV-016</v>
      </c>
      <c r="B17" t="str">
        <v>2026-05-29</v>
      </c>
      <c r="C17" t="str">
        <v>2026-05-27</v>
      </c>
      <c r="D17" t="str">
        <v>HIAA-V07</v>
      </c>
      <c r="E17" t="str">
        <v>Removed Without Replacement</v>
      </c>
      <c r="F17" t="str">
        <v>Unit decommissioned mid-shift with no replacement dispatched.</v>
      </c>
      <c r="G17" t="str">
        <v>Maintenance Bay</v>
      </c>
      <c r="H17" t="str">
        <v>J. MacDonald</v>
      </c>
      <c r="I17" t="str">
        <v>Resolved</v>
      </c>
      <c r="J17">
        <v>10</v>
      </c>
    </row>
    <row r="18">
      <c r="A18" t="str">
        <v>EV-017</v>
      </c>
      <c r="B18" t="str">
        <v>2026-06-05</v>
      </c>
      <c r="C18" t="str">
        <v>2026-06-03</v>
      </c>
      <c r="D18" t="str">
        <v>HIAA-V10</v>
      </c>
      <c r="E18" t="str">
        <v>Missing Requirement</v>
      </c>
      <c r="F18" t="str">
        <v>Rust and dents on rear panel; below visual standard.</v>
      </c>
      <c r="G18" t="str">
        <v>Groundside - Parkade</v>
      </c>
      <c r="H18" t="str">
        <v>S. Comeau</v>
      </c>
      <c r="I18" t="str">
        <v>Open</v>
      </c>
      <c r="J18">
        <v>10</v>
      </c>
    </row>
    <row r="19">
      <c r="A19" t="str">
        <v>EV-018</v>
      </c>
      <c r="B19" t="str">
        <v>2026-06-05</v>
      </c>
      <c r="C19" t="str">
        <v>2026-06-04</v>
      </c>
      <c r="D19" t="str">
        <v>HIAA-V03</v>
      </c>
      <c r="E19" t="str">
        <v>Missing Requirement</v>
      </c>
      <c r="F19" t="str">
        <v>First-aid kit contents expired.</v>
      </c>
      <c r="G19" t="str">
        <v>Airside - Apron B</v>
      </c>
      <c r="H19" t="str">
        <v>A. Boudreau</v>
      </c>
      <c r="I19" t="str">
        <v>Resolved</v>
      </c>
      <c r="J19">
        <v>10</v>
      </c>
    </row>
    <row r="20">
      <c r="A20" t="str">
        <v>EV-019</v>
      </c>
      <c r="B20" t="str">
        <v>2026-06-12</v>
      </c>
      <c r="C20" t="str">
        <v>2026-06-10</v>
      </c>
      <c r="D20" t="str">
        <v>HIAA-V09</v>
      </c>
      <c r="E20" t="str">
        <v>Missing Requirement</v>
      </c>
      <c r="F20" t="str">
        <v>Headlight alignment out of spec.</v>
      </c>
      <c r="G20" t="str">
        <v>Airside - Gate 12</v>
      </c>
      <c r="H20" t="str">
        <v>J. MacDonald</v>
      </c>
      <c r="I20" t="str">
        <v>Resolved</v>
      </c>
      <c r="J20">
        <v>10</v>
      </c>
    </row>
    <row r="21">
      <c r="A21" t="str">
        <v>EV-020</v>
      </c>
      <c r="B21" t="str">
        <v>2026-06-12</v>
      </c>
      <c r="C21" t="str">
        <v>2026-06-11</v>
      </c>
      <c r="D21" t="str">
        <v>HIAA-V04</v>
      </c>
      <c r="E21" t="str">
        <v>Missing Requirement</v>
      </c>
      <c r="F21" t="str">
        <v>Missing fire extinguisher mounting bracket.</v>
      </c>
      <c r="G21" t="str">
        <v>Groundside - Terminal Loop</v>
      </c>
      <c r="H21" t="str">
        <v>S. Comeau</v>
      </c>
      <c r="I21" t="str">
        <v>Open</v>
      </c>
      <c r="J21">
        <v>10</v>
      </c>
    </row>
    <row r="22">
      <c r="A22" t="str">
        <v>EV-021</v>
      </c>
      <c r="B22" t="str">
        <v>2026-06-19</v>
      </c>
      <c r="C22" t="str">
        <v>2026-06-17</v>
      </c>
      <c r="D22" t="str">
        <v>HIAA-V10</v>
      </c>
      <c r="E22" t="str">
        <v>Missing Requirement</v>
      </c>
      <c r="F22" t="str">
        <v>Windshield chip expanded; obstructing driver view.</v>
      </c>
      <c r="G22" t="str">
        <v>Airside - Apron A</v>
      </c>
      <c r="H22" t="str">
        <v>A. Boudreau</v>
      </c>
      <c r="I22" t="str">
        <v>Open</v>
      </c>
      <c r="J22">
        <v>10</v>
      </c>
    </row>
    <row r="23">
      <c r="A23" t="str">
        <v>EV-022</v>
      </c>
      <c r="B23" t="str">
        <v>2026-06-19</v>
      </c>
      <c r="C23" t="str">
        <v>2026-06-18</v>
      </c>
      <c r="D23" t="str">
        <v>HIAA-V03</v>
      </c>
      <c r="E23" t="str">
        <v>Missing Requirement</v>
      </c>
      <c r="F23" t="str">
        <v>Emergency lighting bar intermittent fault.</v>
      </c>
      <c r="G23" t="str">
        <v>Airside - Taxiway C</v>
      </c>
      <c r="H23" t="str">
        <v>J. MacDonald</v>
      </c>
      <c r="I23" t="str">
        <v>Open</v>
      </c>
      <c r="J23">
        <v>10</v>
      </c>
    </row>
    <row r="24">
      <c r="A24" t="str">
        <v>EV-023</v>
      </c>
      <c r="B24" t="str">
        <v>2026-06-26</v>
      </c>
      <c r="C24" t="str">
        <v>2026-06-24</v>
      </c>
      <c r="D24" t="str">
        <v>HIAA-V03</v>
      </c>
      <c r="E24" t="str">
        <v>Missing Requirement</v>
      </c>
      <c r="F24" t="str">
        <v>Body damage from minor collision; below visual standard.</v>
      </c>
      <c r="G24" t="str">
        <v>Groundside - Parkade</v>
      </c>
      <c r="H24" t="str">
        <v>S. Comeau</v>
      </c>
      <c r="I24" t="str">
        <v>Open</v>
      </c>
      <c r="J24">
        <v>10</v>
      </c>
    </row>
    <row r="25">
      <c r="A25" t="str">
        <v>EV-024</v>
      </c>
      <c r="B25" t="str">
        <v>2026-06-26</v>
      </c>
      <c r="C25" t="str">
        <v>2026-06-25</v>
      </c>
      <c r="D25" t="str">
        <v>HIAA-V10</v>
      </c>
      <c r="E25" t="str">
        <v>Missing Requirement</v>
      </c>
      <c r="F25" t="str">
        <v>Expired inspection sticker.</v>
      </c>
      <c r="G25" t="str">
        <v>Airside - Gate 8</v>
      </c>
      <c r="H25" t="str">
        <v>A. Boudreau</v>
      </c>
      <c r="I25" t="str">
        <v>Open</v>
      </c>
      <c r="J25">
        <v>10</v>
      </c>
    </row>
    <row r="26">
      <c r="A26" t="str">
        <v>EV-025</v>
      </c>
      <c r="B26" t="str">
        <v>2026-06-26</v>
      </c>
      <c r="C26" t="str">
        <v>2026-06-25</v>
      </c>
      <c r="D26" t="str">
        <v>HIAA-V07</v>
      </c>
      <c r="E26" t="str">
        <v>Removed Without Replacement</v>
      </c>
      <c r="F26" t="str">
        <v>Vehicle removed for bodywork without on-site replacement.</v>
      </c>
      <c r="G26" t="str">
        <v>Maintenance Bay</v>
      </c>
      <c r="H26" t="str">
        <v>J. MacDonald</v>
      </c>
      <c r="I26" t="str">
        <v>Open</v>
      </c>
      <c r="J26">
        <v>10</v>
      </c>
    </row>
  </sheetData>
  <ignoredErrors>
    <ignoredError numberStoredAsText="1" sqref="A1:J26"/>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Vehicle ID</v>
      </c>
      <c r="B1" t="str">
        <v>Type</v>
      </c>
      <c r="C1" t="str">
        <v>Make / Model</v>
      </c>
      <c r="D1" t="str">
        <v>Year</v>
      </c>
      <c r="E1" t="str">
        <v>Status</v>
      </c>
      <c r="F1" t="str">
        <v>Last Inspection</v>
      </c>
    </row>
    <row r="2">
      <c r="A2" t="str">
        <v>HIAA-V01</v>
      </c>
      <c r="B2" t="str">
        <v>Patrol SUV</v>
      </c>
      <c r="C2" t="str">
        <v>Ford Explorer</v>
      </c>
      <c r="D2">
        <v>2023</v>
      </c>
      <c r="E2" t="str">
        <v>Compliant</v>
      </c>
      <c r="F2" t="str">
        <v>2026-06-26</v>
      </c>
    </row>
    <row r="3">
      <c r="A3" t="str">
        <v>HIAA-V02</v>
      </c>
      <c r="B3" t="str">
        <v>Patrol SUV</v>
      </c>
      <c r="C3" t="str">
        <v>Chevrolet Tahoe</v>
      </c>
      <c r="D3">
        <v>2022</v>
      </c>
      <c r="E3" t="str">
        <v>Compliant</v>
      </c>
      <c r="F3" t="str">
        <v>2026-06-26</v>
      </c>
    </row>
    <row r="4">
      <c r="A4" t="str">
        <v>HIAA-V03</v>
      </c>
      <c r="B4" t="str">
        <v>Pickup Truck</v>
      </c>
      <c r="C4" t="str">
        <v>Ford F-150</v>
      </c>
      <c r="D4">
        <v>2021</v>
      </c>
      <c r="E4" t="str">
        <v>Non-Compliant</v>
      </c>
      <c r="F4" t="str">
        <v>2026-06-19</v>
      </c>
    </row>
    <row r="5">
      <c r="A5" t="str">
        <v>HIAA-V04</v>
      </c>
      <c r="B5" t="str">
        <v>Pickup Truck</v>
      </c>
      <c r="C5" t="str">
        <v>RAM 1500</v>
      </c>
      <c r="D5">
        <v>2023</v>
      </c>
      <c r="E5" t="str">
        <v>Compliant</v>
      </c>
      <c r="F5" t="str">
        <v>2026-06-26</v>
      </c>
    </row>
    <row r="6">
      <c r="A6" t="str">
        <v>HIAA-V05</v>
      </c>
      <c r="B6" t="str">
        <v>Cargo Van</v>
      </c>
      <c r="C6" t="str">
        <v>Mercedes Sprinter</v>
      </c>
      <c r="D6">
        <v>2020</v>
      </c>
      <c r="E6" t="str">
        <v>Compliant</v>
      </c>
      <c r="F6" t="str">
        <v>2026-06-19</v>
      </c>
    </row>
    <row r="7">
      <c r="A7" t="str">
        <v>HIAA-V06</v>
      </c>
      <c r="B7" t="str">
        <v>Patrol Sedan</v>
      </c>
      <c r="C7" t="str">
        <v>Toyota Camry</v>
      </c>
      <c r="D7">
        <v>2022</v>
      </c>
      <c r="E7" t="str">
        <v>Compliant</v>
      </c>
      <c r="F7" t="str">
        <v>2026-06-26</v>
      </c>
    </row>
    <row r="8">
      <c r="A8" t="str">
        <v>HIAA-V07</v>
      </c>
      <c r="B8" t="str">
        <v>Pickup Truck</v>
      </c>
      <c r="C8" t="str">
        <v>GMC Sierra</v>
      </c>
      <c r="D8">
        <v>2021</v>
      </c>
      <c r="E8" t="str">
        <v>Removed</v>
      </c>
      <c r="F8" t="str">
        <v>2026-05-29</v>
      </c>
    </row>
    <row r="9">
      <c r="A9" t="str">
        <v>HIAA-V08</v>
      </c>
      <c r="B9" t="str">
        <v>Patrol SUV</v>
      </c>
      <c r="C9" t="str">
        <v>Ford Explorer</v>
      </c>
      <c r="D9">
        <v>2024</v>
      </c>
      <c r="E9" t="str">
        <v>Compliant</v>
      </c>
      <c r="F9" t="str">
        <v>2026-06-26</v>
      </c>
    </row>
    <row r="10">
      <c r="A10" t="str">
        <v>HIAA-V09</v>
      </c>
      <c r="B10" t="str">
        <v>Cargo Van</v>
      </c>
      <c r="C10" t="str">
        <v>Ford Transit</v>
      </c>
      <c r="D10">
        <v>2022</v>
      </c>
      <c r="E10" t="str">
        <v>Compliant</v>
      </c>
      <c r="F10" t="str">
        <v>2026-06-19</v>
      </c>
    </row>
    <row r="11">
      <c r="A11" t="str">
        <v>HIAA-V10</v>
      </c>
      <c r="B11" t="str">
        <v>Patrol Sedan</v>
      </c>
      <c r="C11" t="str">
        <v>Honda Accord</v>
      </c>
      <c r="D11">
        <v>2023</v>
      </c>
      <c r="E11" t="str">
        <v>Non-Compliant</v>
      </c>
      <c r="F11" t="str">
        <v>2026-06-19</v>
      </c>
    </row>
    <row r="12">
      <c r="A12" t="str">
        <v>HIAA-V11</v>
      </c>
      <c r="B12" t="str">
        <v>Cargo Van</v>
      </c>
      <c r="C12" t="str">
        <v>RAM ProMaster</v>
      </c>
      <c r="D12">
        <v>2021</v>
      </c>
      <c r="E12" t="str">
        <v>Compliant</v>
      </c>
      <c r="F12" t="str">
        <v>2026-06-26</v>
      </c>
    </row>
    <row r="13">
      <c r="A13" t="str">
        <v>HIAA-V12</v>
      </c>
      <c r="B13" t="str">
        <v>Patrol SUV</v>
      </c>
      <c r="C13" t="str">
        <v>Chevrolet Tahoe</v>
      </c>
      <c r="D13">
        <v>2024</v>
      </c>
      <c r="E13" t="str">
        <v>Compliant</v>
      </c>
      <c r="F13" t="str">
        <v>2026-06-26</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B10"/>
  <sheetViews>
    <sheetView workbookViewId="0"/>
  </sheetViews>
  <sheetData>
    <row r="1">
      <c r="A1" t="str">
        <v>Field</v>
      </c>
      <c r="B1" t="str">
        <v>Value</v>
      </c>
    </row>
    <row r="2">
      <c r="A2" t="str">
        <v>KPI</v>
      </c>
      <c r="B2" t="str">
        <v>KPI-15</v>
      </c>
    </row>
    <row r="3">
      <c r="A3" t="str">
        <v>Name</v>
      </c>
      <c r="B3" t="str">
        <v>Vehicles</v>
      </c>
    </row>
    <row r="4">
      <c r="A4" t="str">
        <v>Calculation</v>
      </c>
      <c r="B4" t="str">
        <v>Vehicles provided by the Contractor are to be kept visually of high standard, maintained in good condition and repair, equipped as required by HIAA and the HIAA Traffic Directives, and compliant with Nova Scotia Department of Justice regulations. A vehicle identified to be missing the requirements will count as one (1) event. A vehicle removed from site without being replaced will count as one (1) event.</v>
      </c>
    </row>
    <row r="5">
      <c r="A5" t="str">
        <v>Reporting Frequency</v>
      </c>
      <c r="B5" t="str">
        <v>Weekly (week ending Friday)</v>
      </c>
    </row>
    <row r="6">
      <c r="A6" t="str">
        <v>Threshold - Fail</v>
      </c>
      <c r="B6">
        <v>1</v>
      </c>
    </row>
    <row r="7">
      <c r="A7" t="str">
        <v>Threshold - Target</v>
      </c>
      <c r="B7">
        <v>0</v>
      </c>
    </row>
    <row r="8">
      <c r="A8" t="str">
        <v>Threshold - Success</v>
      </c>
      <c r="B8" t="str">
        <v>n/a</v>
      </c>
    </row>
    <row r="9">
      <c r="A9" t="str">
        <v>Damage Points</v>
      </c>
      <c r="B9" t="str">
        <v>10 per event</v>
      </c>
    </row>
    <row r="10">
      <c r="A10" t="str">
        <v>Advantage Points</v>
      </c>
      <c r="B10" t="str">
        <v>n/a</v>
      </c>
    </row>
  </sheetData>
  <ignoredErrors>
    <ignoredError numberStoredAsText="1" sqref="A1:B10"/>
  </ignoredErrors>
</worksheet>
</file>

<file path=xl/worksheets/sheet4.xml><?xml version="1.0" encoding="utf-8"?>
<worksheet xmlns="http://schemas.openxmlformats.org/spreadsheetml/2006/main" xmlns:r="http://schemas.openxmlformats.org/officeDocument/2006/relationships">
  <dimension ref="A1:B11"/>
  <sheetViews>
    <sheetView workbookViewId="0"/>
  </sheetViews>
  <sheetData>
    <row r="1">
      <c r="A1" t="str">
        <v>Step</v>
      </c>
      <c r="B1" t="str">
        <v>Instruction</v>
      </c>
    </row>
    <row r="2">
      <c r="A2" t="str">
        <v>1</v>
      </c>
      <c r="B2" t="str">
        <v>Each week, review all contractor vehicles against the KPI-15 requirements.</v>
      </c>
    </row>
    <row r="3">
      <c r="A3" t="str">
        <v>2</v>
      </c>
      <c r="B3" t="str">
        <v>For every event found, add ONE row to the 'Events' sheet.</v>
      </c>
    </row>
    <row r="4">
      <c r="A4" t="str">
        <v>3</v>
      </c>
      <c r="B4" t="str">
        <v>'Week Ending' = the Friday that closes the reporting week, formatted YYYY-MM-DD.</v>
      </c>
    </row>
    <row r="5">
      <c r="A5" t="str">
        <v>4</v>
      </c>
      <c r="B5" t="str">
        <v>'Incident Date' = the actual date the issue was observed (YYYY-MM-DD).</v>
      </c>
    </row>
    <row r="6">
      <c r="A6" t="str">
        <v>5</v>
      </c>
      <c r="B6" t="str">
        <v>'Event Type' must be exactly 'Missing Requirement' or 'Removed Without Replacement'.</v>
      </c>
    </row>
    <row r="7">
      <c r="A7" t="str">
        <v>6</v>
      </c>
      <c r="B7" t="str">
        <v>'Status' must be exactly 'Open' or 'Resolved'.</v>
      </c>
    </row>
    <row r="8">
      <c r="A8" t="str">
        <v>7</v>
      </c>
      <c r="B8" t="str">
        <v>'Damage Points' is always 10. Leave it as 10 for every event.</v>
      </c>
    </row>
    <row r="9">
      <c r="A9" t="str">
        <v>8</v>
      </c>
      <c r="B9" t="str">
        <v>Weeks with no events need no row — the dashboard shows those weeks as 0 (passing).</v>
      </c>
    </row>
    <row r="10">
      <c r="A10" t="str">
        <v>9</v>
      </c>
      <c r="B10" t="str">
        <v>Keep 'Vehicle ID' matching an entry on the 'Fleet' sheet.</v>
      </c>
    </row>
    <row r="11">
      <c r="A11" t="str">
        <v>10</v>
      </c>
      <c r="B11" t="str">
        <v>Save the file as kpi-15-vehicles.xlsx and re-upload to refresh the dashboard.</v>
      </c>
    </row>
  </sheetData>
  <ignoredErrors>
    <ignoredError numberStoredAsText="1" sqref="A1:B11"/>
  </ignoredErrors>
</worksheet>
</file>

<file path=xl/worksheets/sheet5.xml><?xml version="1.0" encoding="utf-8"?>
<worksheet xmlns="http://schemas.openxmlformats.org/spreadsheetml/2006/main" xmlns:r="http://schemas.openxmlformats.org/officeDocument/2006/relationships">
  <dimension ref="A1:B7"/>
  <sheetViews>
    <sheetView workbookViewId="0"/>
  </sheetViews>
  <cols>
    <col min="1" max="1" width="34.83203125" customWidth="1"/>
    <col min="2" max="2" width="20.83203125" customWidth="1"/>
  </cols>
  <sheetData>
    <row r="1">
      <c r="A1" t="str">
        <v>KPI-15 — Summary</v>
      </c>
    </row>
    <row r="2">
      <c r="A2" t="str">
        <v>Metric</v>
      </c>
      <c r="B2" t="str">
        <v>Value</v>
      </c>
    </row>
    <row r="3">
      <c r="A3" t="str">
        <v>Total Records</v>
      </c>
      <c r="B3" t="e">
        <f>COUNTA('Events'!A2:A26)</f>
      </c>
    </row>
    <row r="4">
      <c r="A4" t="str">
        <v>Total Damage Points</v>
      </c>
      <c r="B4" t="e">
        <f>SUM('Events'!J2:J26)</f>
      </c>
    </row>
    <row r="5">
      <c r="A5" t="str">
        <v>Avg Damage / Record</v>
      </c>
      <c r="B5" t="e">
        <f>IFERROR(AVERAGE('Events'!J2:J26),0)</f>
      </c>
    </row>
    <row r="6">
      <c r="A6" t="str">
        <v>Records With Damage</v>
      </c>
      <c r="B6" t="e">
        <f>COUNTIF('Events'!J2:J26,"&gt;0")</f>
      </c>
    </row>
    <row r="7">
      <c r="A7" t="str">
        <v>Fail / Breach Count</v>
      </c>
      <c r="B7" t="e">
        <f>COUNTIF('Events'!I2:I26,"*ail*")+COUNTIF('Events'!I2:I26,"*reach*")</f>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Events</vt:lpstr>
      <vt:lpstr>Fleet</vt:lpstr>
      <vt:lpstr>KPI Definition</vt:lpstr>
      <vt:lpstr>How To Update</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