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Occurrence ID</v>
      </c>
      <c r="B1" t="str">
        <v>Date</v>
      </c>
      <c r="C1" t="str">
        <v>Shift</v>
      </c>
      <c r="D1" t="str">
        <v>Post</v>
      </c>
      <c r="E1" t="str">
        <v>Required</v>
      </c>
      <c r="F1" t="str">
        <v>Actual</v>
      </c>
      <c r="G1" t="str">
        <v>Duration</v>
      </c>
      <c r="H1" t="str">
        <v>Damage Points</v>
      </c>
    </row>
    <row r="2">
      <c r="A2" t="str">
        <v>OCC-0001</v>
      </c>
      <c r="B2" t="str">
        <v>2025-01-17</v>
      </c>
      <c r="C2" t="str">
        <v>Day (07-15)</v>
      </c>
      <c r="D2" t="str">
        <v>Perimeter Gate B</v>
      </c>
      <c r="E2">
        <v>12</v>
      </c>
      <c r="F2">
        <v>9</v>
      </c>
      <c r="G2" t="str">
        <v>1h 53m</v>
      </c>
      <c r="H2">
        <v>10</v>
      </c>
    </row>
    <row r="3">
      <c r="A3" t="str">
        <v>OCC-0002</v>
      </c>
      <c r="B3" t="str">
        <v>2025-01-30</v>
      </c>
      <c r="C3" t="str">
        <v>Day (07-15)</v>
      </c>
      <c r="D3" t="str">
        <v>Perimeter Gate A</v>
      </c>
      <c r="E3">
        <v>12</v>
      </c>
      <c r="F3">
        <v>11</v>
      </c>
      <c r="G3" t="str">
        <v>3h 08m</v>
      </c>
      <c r="H3">
        <v>10</v>
      </c>
    </row>
    <row r="4">
      <c r="A4" t="str">
        <v>OCC-0003</v>
      </c>
      <c r="B4" t="str">
        <v>2025-02-10</v>
      </c>
      <c r="C4" t="str">
        <v>Evening (15-23)</v>
      </c>
      <c r="D4" t="str">
        <v>Reception Desk</v>
      </c>
      <c r="E4">
        <v>12</v>
      </c>
      <c r="F4">
        <v>10</v>
      </c>
      <c r="G4" t="str">
        <v>2h 03m</v>
      </c>
      <c r="H4">
        <v>10</v>
      </c>
    </row>
    <row r="5">
      <c r="A5" t="str">
        <v>OCC-0004</v>
      </c>
      <c r="B5" t="str">
        <v>2025-02-26</v>
      </c>
      <c r="C5" t="str">
        <v>Evening (15-23)</v>
      </c>
      <c r="D5" t="str">
        <v>Reception Desk</v>
      </c>
      <c r="E5">
        <v>12</v>
      </c>
      <c r="F5">
        <v>10</v>
      </c>
      <c r="G5" t="str">
        <v>4h 37m</v>
      </c>
      <c r="H5">
        <v>10</v>
      </c>
    </row>
    <row r="6">
      <c r="A6" t="str">
        <v>OCC-0005</v>
      </c>
      <c r="B6" t="str">
        <v>2025-03-11</v>
      </c>
      <c r="C6" t="str">
        <v>Day (07-15)</v>
      </c>
      <c r="D6" t="str">
        <v>Cargo Screening</v>
      </c>
      <c r="E6">
        <v>12</v>
      </c>
      <c r="F6">
        <v>11</v>
      </c>
      <c r="G6" t="str">
        <v>1h 56m</v>
      </c>
      <c r="H6">
        <v>10</v>
      </c>
    </row>
    <row r="7">
      <c r="A7" t="str">
        <v>OCC-0006</v>
      </c>
      <c r="B7" t="str">
        <v>2025-03-24</v>
      </c>
      <c r="C7" t="str">
        <v>Evening (15-23)</v>
      </c>
      <c r="D7" t="str">
        <v>Perimeter Gate A</v>
      </c>
      <c r="E7">
        <v>12</v>
      </c>
      <c r="F7">
        <v>10</v>
      </c>
      <c r="G7" t="str">
        <v>1h 45m</v>
      </c>
      <c r="H7">
        <v>10</v>
      </c>
    </row>
    <row r="8">
      <c r="A8" t="str">
        <v>OCC-0007</v>
      </c>
      <c r="B8" t="str">
        <v>2025-04-05</v>
      </c>
      <c r="C8" t="str">
        <v>Night (23-07)</v>
      </c>
      <c r="D8" t="str">
        <v>Reception Desk</v>
      </c>
      <c r="E8">
        <v>12</v>
      </c>
      <c r="F8">
        <v>11</v>
      </c>
      <c r="G8" t="str">
        <v>4h 40m</v>
      </c>
      <c r="H8">
        <v>10</v>
      </c>
    </row>
    <row r="9">
      <c r="A9" t="str">
        <v>OCC-0008</v>
      </c>
      <c r="B9" t="str">
        <v>2025-04-17</v>
      </c>
      <c r="C9" t="str">
        <v>Day (07-15)</v>
      </c>
      <c r="D9" t="str">
        <v>Perimeter Gate B</v>
      </c>
      <c r="E9">
        <v>12</v>
      </c>
      <c r="F9">
        <v>11</v>
      </c>
      <c r="G9" t="str">
        <v>2h 14m</v>
      </c>
      <c r="H9">
        <v>10</v>
      </c>
    </row>
    <row r="10">
      <c r="A10" t="str">
        <v>OCC-0009</v>
      </c>
      <c r="B10" t="str">
        <v>2025-04-30</v>
      </c>
      <c r="C10" t="str">
        <v>Evening (15-23)</v>
      </c>
      <c r="D10" t="str">
        <v>Main Control Room</v>
      </c>
      <c r="E10">
        <v>12</v>
      </c>
      <c r="F10">
        <v>9</v>
      </c>
      <c r="G10" t="str">
        <v>4h 16m</v>
      </c>
      <c r="H10">
        <v>10</v>
      </c>
    </row>
    <row r="11">
      <c r="A11" t="str">
        <v>OCC-0010</v>
      </c>
      <c r="B11" t="str">
        <v>2025-05-13</v>
      </c>
      <c r="C11" t="str">
        <v>Evening (15-23)</v>
      </c>
      <c r="D11" t="str">
        <v>Loading Dock</v>
      </c>
      <c r="E11">
        <v>12</v>
      </c>
      <c r="F11">
        <v>10</v>
      </c>
      <c r="G11" t="str">
        <v>1h 15m</v>
      </c>
      <c r="H11">
        <v>10</v>
      </c>
    </row>
    <row r="12">
      <c r="A12" t="str">
        <v>OCC-0011</v>
      </c>
      <c r="B12" t="str">
        <v>2025-05-26</v>
      </c>
      <c r="C12" t="str">
        <v>Evening (15-23)</v>
      </c>
      <c r="D12" t="str">
        <v>Loading Dock</v>
      </c>
      <c r="E12">
        <v>12</v>
      </c>
      <c r="F12">
        <v>10</v>
      </c>
      <c r="G12" t="str">
        <v>4h 34m</v>
      </c>
      <c r="H12">
        <v>10</v>
      </c>
    </row>
    <row r="13">
      <c r="A13" t="str">
        <v>OCC-0012</v>
      </c>
      <c r="B13" t="str">
        <v>2025-06-05</v>
      </c>
      <c r="C13" t="str">
        <v>Evening (15-23)</v>
      </c>
      <c r="D13" t="str">
        <v>Main Control Room</v>
      </c>
      <c r="E13">
        <v>12</v>
      </c>
      <c r="F13">
        <v>11</v>
      </c>
      <c r="G13" t="str">
        <v>2h 07m</v>
      </c>
      <c r="H13">
        <v>10</v>
      </c>
    </row>
    <row r="14">
      <c r="A14" t="str">
        <v>OCC-0013</v>
      </c>
      <c r="B14" t="str">
        <v>2025-06-18</v>
      </c>
      <c r="C14" t="str">
        <v>Night (23-07)</v>
      </c>
      <c r="D14" t="str">
        <v>Loading Dock</v>
      </c>
      <c r="E14">
        <v>12</v>
      </c>
      <c r="F14">
        <v>10</v>
      </c>
      <c r="G14" t="str">
        <v>2h 28m</v>
      </c>
      <c r="H14">
        <v>10</v>
      </c>
    </row>
    <row r="15">
      <c r="A15" t="str">
        <v>OCC-0014</v>
      </c>
      <c r="B15" t="str">
        <v>2025-07-04</v>
      </c>
      <c r="C15" t="str">
        <v>Day (07-15)</v>
      </c>
      <c r="D15" t="str">
        <v>Main Control Room</v>
      </c>
      <c r="E15">
        <v>12</v>
      </c>
      <c r="F15">
        <v>11</v>
      </c>
      <c r="G15" t="str">
        <v>3h 57m</v>
      </c>
      <c r="H15">
        <v>10</v>
      </c>
    </row>
    <row r="16">
      <c r="A16" t="str">
        <v>OCC-0015</v>
      </c>
      <c r="B16" t="str">
        <v>2025-07-14</v>
      </c>
      <c r="C16" t="str">
        <v>Evening (15-23)</v>
      </c>
      <c r="D16" t="str">
        <v>Loading Dock</v>
      </c>
      <c r="E16">
        <v>12</v>
      </c>
      <c r="F16">
        <v>9</v>
      </c>
      <c r="G16" t="str">
        <v>2h 54m</v>
      </c>
      <c r="H16">
        <v>10</v>
      </c>
    </row>
    <row r="17">
      <c r="A17" t="str">
        <v>OCC-0016</v>
      </c>
      <c r="B17" t="str">
        <v>2025-07-30</v>
      </c>
      <c r="C17" t="str">
        <v>Evening (15-23)</v>
      </c>
      <c r="D17" t="str">
        <v>Cargo Screening</v>
      </c>
      <c r="E17">
        <v>12</v>
      </c>
      <c r="F17">
        <v>9</v>
      </c>
      <c r="G17" t="str">
        <v>4h 14m</v>
      </c>
      <c r="H17">
        <v>10</v>
      </c>
    </row>
    <row r="18">
      <c r="A18" t="str">
        <v>OCC-0017</v>
      </c>
      <c r="B18" t="str">
        <v>2025-08-15</v>
      </c>
      <c r="C18" t="str">
        <v>Evening (15-23)</v>
      </c>
      <c r="D18" t="str">
        <v>Main Control Room</v>
      </c>
      <c r="E18">
        <v>12</v>
      </c>
      <c r="F18">
        <v>10</v>
      </c>
      <c r="G18" t="str">
        <v>4h 30m</v>
      </c>
      <c r="H18">
        <v>10</v>
      </c>
    </row>
    <row r="19">
      <c r="A19" t="str">
        <v>OCC-0018</v>
      </c>
      <c r="B19" t="str">
        <v>2025-08-31</v>
      </c>
      <c r="C19" t="str">
        <v>Night (23-07)</v>
      </c>
      <c r="D19" t="str">
        <v>Perimeter Gate A</v>
      </c>
      <c r="E19">
        <v>12</v>
      </c>
      <c r="F19">
        <v>9</v>
      </c>
      <c r="G19" t="str">
        <v>1h 42m</v>
      </c>
      <c r="H19">
        <v>10</v>
      </c>
    </row>
    <row r="20">
      <c r="A20" t="str">
        <v>OCC-0019</v>
      </c>
      <c r="B20" t="str">
        <v>2025-09-10</v>
      </c>
      <c r="C20" t="str">
        <v>Day (07-15)</v>
      </c>
      <c r="D20" t="str">
        <v>Loading Dock</v>
      </c>
      <c r="E20">
        <v>12</v>
      </c>
      <c r="F20">
        <v>9</v>
      </c>
      <c r="G20" t="str">
        <v>4h 43m</v>
      </c>
      <c r="H20">
        <v>10</v>
      </c>
    </row>
    <row r="21">
      <c r="A21" t="str">
        <v>OCC-0020</v>
      </c>
      <c r="B21" t="str">
        <v>2025-09-27</v>
      </c>
      <c r="C21" t="str">
        <v>Night (23-07)</v>
      </c>
      <c r="D21" t="str">
        <v>Perimeter Gate A</v>
      </c>
      <c r="E21">
        <v>12</v>
      </c>
      <c r="F21">
        <v>10</v>
      </c>
      <c r="G21" t="str">
        <v>3h 24m</v>
      </c>
      <c r="H21">
        <v>10</v>
      </c>
    </row>
    <row r="22">
      <c r="A22" t="str">
        <v>OCC-0021</v>
      </c>
      <c r="B22" t="str">
        <v>2025-10-12</v>
      </c>
      <c r="C22" t="str">
        <v>Day (07-15)</v>
      </c>
      <c r="D22" t="str">
        <v>Perimeter Gate A</v>
      </c>
      <c r="E22">
        <v>12</v>
      </c>
      <c r="F22">
        <v>10</v>
      </c>
      <c r="G22" t="str">
        <v>2h 19m</v>
      </c>
      <c r="H22">
        <v>10</v>
      </c>
    </row>
    <row r="23">
      <c r="A23" t="str">
        <v>OCC-0022</v>
      </c>
      <c r="B23" t="str">
        <v>2025-10-25</v>
      </c>
      <c r="C23" t="str">
        <v>Evening (15-23)</v>
      </c>
      <c r="D23" t="str">
        <v>Cargo Screening</v>
      </c>
      <c r="E23">
        <v>12</v>
      </c>
      <c r="F23">
        <v>11</v>
      </c>
      <c r="G23" t="str">
        <v>4h 41m</v>
      </c>
      <c r="H23">
        <v>10</v>
      </c>
    </row>
    <row r="24">
      <c r="A24" t="str">
        <v>OCC-0023</v>
      </c>
      <c r="B24" t="str">
        <v>2025-11-07</v>
      </c>
      <c r="C24" t="str">
        <v>Evening (15-23)</v>
      </c>
      <c r="D24" t="str">
        <v>Perimeter Gate A</v>
      </c>
      <c r="E24">
        <v>12</v>
      </c>
      <c r="F24">
        <v>10</v>
      </c>
      <c r="G24" t="str">
        <v>3h 30m</v>
      </c>
      <c r="H24">
        <v>10</v>
      </c>
    </row>
    <row r="25">
      <c r="A25" t="str">
        <v>OCC-0024</v>
      </c>
      <c r="B25" t="str">
        <v>2025-11-22</v>
      </c>
      <c r="C25" t="str">
        <v>Night (23-07)</v>
      </c>
      <c r="D25" t="str">
        <v>Reception Desk</v>
      </c>
      <c r="E25">
        <v>12</v>
      </c>
      <c r="F25">
        <v>9</v>
      </c>
      <c r="G25" t="str">
        <v>3h 42m</v>
      </c>
      <c r="H25">
        <v>10</v>
      </c>
    </row>
    <row r="26">
      <c r="A26" t="str">
        <v>OCC-0025</v>
      </c>
      <c r="B26" t="str">
        <v>2025-12-02</v>
      </c>
      <c r="C26" t="str">
        <v>Evening (15-23)</v>
      </c>
      <c r="D26" t="str">
        <v>Cargo Screening</v>
      </c>
      <c r="E26">
        <v>12</v>
      </c>
      <c r="F26">
        <v>9</v>
      </c>
      <c r="G26" t="str">
        <v>3h 12m</v>
      </c>
      <c r="H26">
        <v>10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KPI-03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COUNTA('Data'!A2:A26)</f>
      </c>
    </row>
    <row r="4">
      <c r="A4" t="str">
        <v>Total Damage Points</v>
      </c>
      <c r="B4" t="e">
        <f>SUM('Data'!H2:H26)</f>
      </c>
    </row>
    <row r="5">
      <c r="A5" t="str">
        <v>Avg Damage / Record</v>
      </c>
      <c r="B5" t="e">
        <f>IFERROR(AVERAGE('Data'!H2:H26),0)</f>
      </c>
    </row>
    <row r="6">
      <c r="A6" t="str">
        <v>Records With Damage</v>
      </c>
      <c r="B6" t="e">
        <f>COUNTIF('Data'!H2:H26,"&gt;0")</f>
      </c>
    </row>
    <row r="7">
      <c r="A7" t="str">
        <v>Occurrences Below Minimum</v>
      </c>
      <c r="B7" t="e">
        <f>COUNTA('Data'!A2:A26)</f>
      </c>
    </row>
    <row r="8">
      <c r="A8" t="str">
        <v>Minimum Staffing Level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