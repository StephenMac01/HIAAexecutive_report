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PI Definition" sheetId="1" r:id="rId1"/>
    <sheet name="Daily Events" sheetId="2" r:id="rId2"/>
    <sheet name="Zone Breakdown" sheetId="3" r:id="rId3"/>
    <sheet name="Audit Log" sheetId="4" r:id="rId4"/>
    <sheet name="Summa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KPI-10  ·  UNIFORM</v>
      </c>
    </row>
    <row r="2">
      <c r="A2" t="str">
        <v>Reporting period: Feb 2026 - Rolling 30 days      Last audit: Jul 17, 2026 - 09:42</v>
      </c>
    </row>
    <row r="4">
      <c r="A4" t="str">
        <v>Calculation</v>
      </c>
      <c r="B4" t="str">
        <v>Any individual on-site not in an HIAA approved uniform will count as 1 event.</v>
      </c>
    </row>
    <row r="6">
      <c r="A6" t="str">
        <v>Threshold</v>
      </c>
      <c r="B6" t="str">
        <v>Fail</v>
      </c>
      <c r="C6">
        <v>1</v>
      </c>
      <c r="D6" t="str">
        <v>Target</v>
      </c>
      <c r="E6">
        <v>0</v>
      </c>
      <c r="F6" t="str">
        <v>Success</v>
      </c>
      <c r="G6" t="str">
        <v>n/a</v>
      </c>
    </row>
    <row r="8">
      <c r="A8" t="str">
        <v>Damage points</v>
      </c>
      <c r="B8" t="str">
        <v>2 per event</v>
      </c>
      <c r="D8" t="str">
        <v>Advantage Points</v>
      </c>
      <c r="F8" t="str">
        <v>n/a</v>
      </c>
    </row>
    <row r="10">
      <c r="A10" t="str">
        <v>CURRENT STATUS:  ON TARGET  ·  0 events  ·  0 damage points  ·  100% compliance  ·  30 clean days</v>
      </c>
    </row>
  </sheetData>
  <mergeCells count="8">
    <mergeCell ref="D8:E8"/>
    <mergeCell ref="A1:G1"/>
    <mergeCell ref="A4"/>
    <mergeCell ref="B4:G4"/>
    <mergeCell ref="A2:G2"/>
    <mergeCell ref="B8:C8"/>
    <mergeCell ref="A10:G10"/>
    <mergeCell ref="F8:G8"/>
  </mergeCells>
  <pageMargins left="0.75" right="0.75" top="1" bottom="1" header="0.5" footer="0.5"/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Data>
    <row r="1">
      <c r="A1" t="str">
        <v>Date</v>
      </c>
      <c r="B1" t="str">
        <v>Events</v>
      </c>
      <c r="C1" t="str">
        <v>Damage Points</v>
      </c>
      <c r="D1" t="str">
        <v>Fail Threshold</v>
      </c>
    </row>
    <row r="2">
      <c r="A2" t="str">
        <v>Jun 18</v>
      </c>
      <c r="B2">
        <v>0</v>
      </c>
      <c r="C2">
        <v>0</v>
      </c>
      <c r="D2">
        <v>1</v>
      </c>
    </row>
    <row r="3">
      <c r="A3" t="str">
        <v>Jun 19</v>
      </c>
      <c r="B3">
        <v>0</v>
      </c>
      <c r="C3">
        <v>0</v>
      </c>
      <c r="D3">
        <v>1</v>
      </c>
    </row>
    <row r="4">
      <c r="A4" t="str">
        <v>Jun 20</v>
      </c>
      <c r="B4">
        <v>0</v>
      </c>
      <c r="C4">
        <v>0</v>
      </c>
      <c r="D4">
        <v>1</v>
      </c>
    </row>
    <row r="5">
      <c r="A5" t="str">
        <v>Jun 21</v>
      </c>
      <c r="B5">
        <v>0</v>
      </c>
      <c r="C5">
        <v>0</v>
      </c>
      <c r="D5">
        <v>1</v>
      </c>
    </row>
    <row r="6">
      <c r="A6" t="str">
        <v>Jun 22</v>
      </c>
      <c r="B6">
        <v>0</v>
      </c>
      <c r="C6">
        <v>0</v>
      </c>
      <c r="D6">
        <v>1</v>
      </c>
    </row>
    <row r="7">
      <c r="A7" t="str">
        <v>Jun 23</v>
      </c>
      <c r="B7">
        <v>0</v>
      </c>
      <c r="C7">
        <v>0</v>
      </c>
      <c r="D7">
        <v>1</v>
      </c>
    </row>
    <row r="8">
      <c r="A8" t="str">
        <v>Jun 24</v>
      </c>
      <c r="B8">
        <v>0</v>
      </c>
      <c r="C8">
        <v>0</v>
      </c>
      <c r="D8">
        <v>1</v>
      </c>
    </row>
    <row r="9">
      <c r="A9" t="str">
        <v>Jun 25</v>
      </c>
      <c r="B9">
        <v>0</v>
      </c>
      <c r="C9">
        <v>0</v>
      </c>
      <c r="D9">
        <v>1</v>
      </c>
    </row>
    <row r="10">
      <c r="A10" t="str">
        <v>Jun 26</v>
      </c>
      <c r="B10">
        <v>0</v>
      </c>
      <c r="C10">
        <v>0</v>
      </c>
      <c r="D10">
        <v>1</v>
      </c>
    </row>
    <row r="11">
      <c r="A11" t="str">
        <v>Jun 27</v>
      </c>
      <c r="B11">
        <v>0</v>
      </c>
      <c r="C11">
        <v>0</v>
      </c>
      <c r="D11">
        <v>1</v>
      </c>
    </row>
    <row r="12">
      <c r="A12" t="str">
        <v>Jun 28</v>
      </c>
      <c r="B12">
        <v>0</v>
      </c>
      <c r="C12">
        <v>0</v>
      </c>
      <c r="D12">
        <v>1</v>
      </c>
    </row>
    <row r="13">
      <c r="A13" t="str">
        <v>Jun 29</v>
      </c>
      <c r="B13">
        <v>0</v>
      </c>
      <c r="C13">
        <v>0</v>
      </c>
      <c r="D13">
        <v>1</v>
      </c>
    </row>
    <row r="14">
      <c r="A14" t="str">
        <v>Jun 30</v>
      </c>
      <c r="B14">
        <v>0</v>
      </c>
      <c r="C14">
        <v>0</v>
      </c>
      <c r="D14">
        <v>1</v>
      </c>
    </row>
    <row r="15">
      <c r="A15" t="str">
        <v>Jul 01</v>
      </c>
      <c r="B15">
        <v>0</v>
      </c>
      <c r="C15">
        <v>0</v>
      </c>
      <c r="D15">
        <v>1</v>
      </c>
    </row>
    <row r="16">
      <c r="A16" t="str">
        <v>Jul 02</v>
      </c>
      <c r="B16">
        <v>0</v>
      </c>
      <c r="C16">
        <v>0</v>
      </c>
      <c r="D16">
        <v>1</v>
      </c>
    </row>
    <row r="17">
      <c r="A17" t="str">
        <v>Jul 03</v>
      </c>
      <c r="B17">
        <v>0</v>
      </c>
      <c r="C17">
        <v>0</v>
      </c>
      <c r="D17">
        <v>1</v>
      </c>
    </row>
    <row r="18">
      <c r="A18" t="str">
        <v>Jul 04</v>
      </c>
      <c r="B18">
        <v>0</v>
      </c>
      <c r="C18">
        <v>0</v>
      </c>
      <c r="D18">
        <v>1</v>
      </c>
    </row>
    <row r="19">
      <c r="A19" t="str">
        <v>Jul 05</v>
      </c>
      <c r="B19">
        <v>0</v>
      </c>
      <c r="C19">
        <v>0</v>
      </c>
      <c r="D19">
        <v>1</v>
      </c>
    </row>
    <row r="20">
      <c r="A20" t="str">
        <v>Jul 06</v>
      </c>
      <c r="B20">
        <v>0</v>
      </c>
      <c r="C20">
        <v>0</v>
      </c>
      <c r="D20">
        <v>1</v>
      </c>
    </row>
    <row r="21">
      <c r="A21" t="str">
        <v>Jul 07</v>
      </c>
      <c r="B21">
        <v>0</v>
      </c>
      <c r="C21">
        <v>0</v>
      </c>
      <c r="D21">
        <v>1</v>
      </c>
    </row>
    <row r="22">
      <c r="A22" t="str">
        <v>Jul 08</v>
      </c>
      <c r="B22">
        <v>0</v>
      </c>
      <c r="C22">
        <v>0</v>
      </c>
      <c r="D22">
        <v>1</v>
      </c>
    </row>
    <row r="23">
      <c r="A23" t="str">
        <v>Jul 09</v>
      </c>
      <c r="B23">
        <v>0</v>
      </c>
      <c r="C23">
        <v>0</v>
      </c>
      <c r="D23">
        <v>1</v>
      </c>
    </row>
    <row r="24">
      <c r="A24" t="str">
        <v>Jul 10</v>
      </c>
      <c r="B24">
        <v>0</v>
      </c>
      <c r="C24">
        <v>0</v>
      </c>
      <c r="D24">
        <v>1</v>
      </c>
    </row>
    <row r="25">
      <c r="A25" t="str">
        <v>Jul 11</v>
      </c>
      <c r="B25">
        <v>0</v>
      </c>
      <c r="C25">
        <v>0</v>
      </c>
      <c r="D25">
        <v>1</v>
      </c>
    </row>
    <row r="26">
      <c r="A26" t="str">
        <v>Jul 12</v>
      </c>
      <c r="B26">
        <v>0</v>
      </c>
      <c r="C26">
        <v>0</v>
      </c>
      <c r="D26">
        <v>1</v>
      </c>
    </row>
  </sheetData>
  <ignoredErrors>
    <ignoredError numberStoredAsText="1" sqref="A1:D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Zone</v>
      </c>
      <c r="B1" t="str">
        <v>Personnel</v>
      </c>
      <c r="C1" t="str">
        <v>Compliant</v>
      </c>
      <c r="D1" t="str">
        <v>Events</v>
      </c>
    </row>
    <row r="2">
      <c r="A2" t="str">
        <v>Terminal A</v>
      </c>
      <c r="B2">
        <v>34</v>
      </c>
      <c r="C2">
        <v>34</v>
      </c>
      <c r="D2">
        <v>0</v>
      </c>
    </row>
    <row r="3">
      <c r="A3" t="str">
        <v>Terminal B</v>
      </c>
      <c r="B3">
        <v>28</v>
      </c>
      <c r="C3">
        <v>28</v>
      </c>
      <c r="D3">
        <v>0</v>
      </c>
    </row>
    <row r="4">
      <c r="A4" t="str">
        <v>Airside Ops</v>
      </c>
      <c r="B4">
        <v>22</v>
      </c>
      <c r="C4">
        <v>22</v>
      </c>
      <c r="D4">
        <v>0</v>
      </c>
    </row>
    <row r="5">
      <c r="A5" t="str">
        <v>Cargo</v>
      </c>
      <c r="B5">
        <v>19</v>
      </c>
      <c r="C5">
        <v>19</v>
      </c>
      <c r="D5">
        <v>0</v>
      </c>
    </row>
    <row r="6">
      <c r="A6" t="str">
        <v>Landside</v>
      </c>
      <c r="B6">
        <v>26</v>
      </c>
      <c r="C6">
        <v>26</v>
      </c>
      <c r="D6">
        <v>0</v>
      </c>
    </row>
    <row r="7">
      <c r="A7" t="str">
        <v>Admin</v>
      </c>
      <c r="B7">
        <v>19</v>
      </c>
      <c r="C7">
        <v>19</v>
      </c>
      <c r="D7">
        <v>0</v>
      </c>
    </row>
  </sheetData>
  <pageMargins left="0.75" right="0.75" top="1" bottom="1" header="0.5" footer="0.5"/>
  <ignoredErrors>
    <ignoredError numberStoredAsText="1" sqref="A1:D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Time</v>
      </c>
      <c r="B1" t="str">
        <v>Zone</v>
      </c>
      <c r="C1" t="str">
        <v>Inspector</v>
      </c>
      <c r="D1" t="str">
        <v>Checked</v>
      </c>
      <c r="E1" t="str">
        <v>Result</v>
      </c>
    </row>
    <row r="2">
      <c r="A2" t="str">
        <v>09:42</v>
      </c>
      <c r="B2" t="str">
        <v>Terminal A</v>
      </c>
      <c r="C2" t="str">
        <v>M. Alvarez</v>
      </c>
      <c r="D2">
        <v>34</v>
      </c>
      <c r="E2" t="str">
        <v>Pass</v>
      </c>
    </row>
    <row r="3">
      <c r="A3" t="str">
        <v>09:15</v>
      </c>
      <c r="B3" t="str">
        <v>Airside Ops</v>
      </c>
      <c r="C3" t="str">
        <v>R. Chen</v>
      </c>
      <c r="D3">
        <v>22</v>
      </c>
      <c r="E3" t="str">
        <v>Pass</v>
      </c>
    </row>
    <row r="4">
      <c r="A4" t="str">
        <v>08:50</v>
      </c>
      <c r="B4" t="str">
        <v>Cargo</v>
      </c>
      <c r="C4" t="str">
        <v>T. Okafor</v>
      </c>
      <c r="D4">
        <v>19</v>
      </c>
      <c r="E4" t="str">
        <v>Pass</v>
      </c>
    </row>
    <row r="5">
      <c r="A5" t="str">
        <v>08:20</v>
      </c>
      <c r="B5" t="str">
        <v>Terminal B</v>
      </c>
      <c r="C5" t="str">
        <v>M. Alvarez</v>
      </c>
      <c r="D5">
        <v>28</v>
      </c>
      <c r="E5" t="str">
        <v>Pass</v>
      </c>
    </row>
    <row r="6">
      <c r="A6" t="str">
        <v>07:55</v>
      </c>
      <c r="B6" t="str">
        <v>Landside</v>
      </c>
      <c r="C6" t="str">
        <v>S. Park</v>
      </c>
      <c r="D6">
        <v>26</v>
      </c>
      <c r="E6" t="str">
        <v>Pass</v>
      </c>
    </row>
    <row r="7">
      <c r="A7" t="str">
        <v>07:30</v>
      </c>
      <c r="B7" t="str">
        <v>Admin</v>
      </c>
      <c r="C7" t="str">
        <v>R. Chen</v>
      </c>
      <c r="D7">
        <v>19</v>
      </c>
      <c r="E7" t="str">
        <v>Pass</v>
      </c>
    </row>
  </sheetData>
  <pageMargins left="0.75" right="0.75" top="1" bottom="1" header="0.5" footer="0.5"/>
  <ignoredErrors>
    <ignoredError numberStoredAsText="1" sqref="A1:E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34.83203125" customWidth="1"/>
    <col min="2" max="2" width="20.83203125" customWidth="1"/>
  </cols>
  <sheetData>
    <row r="1">
      <c r="A1" t="str">
        <v>KPI-10 — Summary</v>
      </c>
    </row>
    <row r="2">
      <c r="A2" t="str">
        <v>Metric</v>
      </c>
      <c r="B2" t="str">
        <v>Value</v>
      </c>
    </row>
    <row r="3">
      <c r="A3" t="str">
        <v>Total Records</v>
      </c>
      <c r="B3" t="e">
        <f>COUNTA('Daily Events'!A2:A26)</f>
      </c>
    </row>
    <row r="4">
      <c r="A4" t="str">
        <v>Total Damage Points</v>
      </c>
      <c r="B4" t="e">
        <f>SUM('Daily Events'!C2:C26)</f>
      </c>
    </row>
    <row r="5">
      <c r="A5" t="str">
        <v>Avg Damage / Record</v>
      </c>
      <c r="B5" t="e">
        <f>IFERROR(AVERAGE('Daily Events'!C2:C26),0)</f>
      </c>
    </row>
    <row r="6">
      <c r="A6" t="str">
        <v>Records With Damage</v>
      </c>
      <c r="B6" t="e">
        <f>COUNTIF('Daily Events'!C2:C26,"&gt;0")</f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 Definition</vt:lpstr>
      <vt:lpstr>Daily Events</vt:lpstr>
      <vt:lpstr>Zone Breakdown</vt:lpstr>
      <vt:lpstr>Audit Log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