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cident Log" sheetId="2" r:id="rId2"/>
    <sheet name="Monthly Summary" sheetId="3" r:id="rId3"/>
    <sheet name="Scorecard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KPI-16 — Response Times · Data Entry Guide</v>
      </c>
    </row>
    <row r="3">
      <c r="A3" t="str">
        <v>How to update this workbook every week:</v>
      </c>
    </row>
    <row r="4">
      <c r="A4" t="str">
        <v>1.</v>
      </c>
      <c r="B4" t="str">
        <v>Open the 'Incident Log' sheet.</v>
      </c>
    </row>
    <row r="5">
      <c r="A5" t="str">
        <v>2.</v>
      </c>
      <c r="B5" t="str">
        <v>Add ONE new row per response, directly under the last filled row.</v>
      </c>
    </row>
    <row r="6">
      <c r="A6" t="str">
        <v>3.</v>
      </c>
      <c r="B6" t="str">
        <v>Fill only columns A–H (the white input columns):</v>
      </c>
    </row>
    <row r="7">
      <c r="A7" t="str">
        <v/>
      </c>
      <c r="B7" t="str">
        <v xml:space="preserve">   A  Week #            e.g. 27</v>
      </c>
    </row>
    <row r="8">
      <c r="A8" t="str">
        <v/>
      </c>
      <c r="B8" t="str">
        <v xml:space="preserve">   B  Week Ending       Sunday that closes the week (YYYY-MM-DD)</v>
      </c>
    </row>
    <row r="9">
      <c r="A9" t="str">
        <v/>
      </c>
      <c r="B9" t="str">
        <v xml:space="preserve">   C  Incident ID       your reference, e.g. INC-0770</v>
      </c>
    </row>
    <row r="10">
      <c r="A10" t="str">
        <v/>
      </c>
      <c r="B10" t="str">
        <v xml:space="preserve">   D  Date              date the incident occurred (YYYY-MM-DD)</v>
      </c>
    </row>
    <row r="11">
      <c r="A11" t="str">
        <v/>
      </c>
      <c r="B11" t="str">
        <v xml:space="preserve">   E  Time              24-hour time, e.g. 14:05</v>
      </c>
    </row>
    <row r="12">
      <c r="A12" t="str">
        <v/>
      </c>
      <c r="B12" t="str">
        <v xml:space="preserve">   F  Location          where the response occurred</v>
      </c>
    </row>
    <row r="13">
      <c r="A13" t="str">
        <v/>
      </c>
      <c r="B13" t="str">
        <v xml:space="preserve">   G  Type              must be exactly 'Emergency' or 'Non-Emergency'</v>
      </c>
    </row>
    <row r="14">
      <c r="A14" t="str">
        <v/>
      </c>
      <c r="B14" t="str">
        <v xml:space="preserve">   H  Response (min)    minutes taken to respond (decimals allowed)</v>
      </c>
    </row>
    <row r="15">
      <c r="A15" t="str">
        <v>4.</v>
      </c>
      <c r="B15" t="str">
        <v>Columns I–L calculate automatically — copy the formulas down from the row above:</v>
      </c>
    </row>
    <row r="16">
      <c r="A16" t="str">
        <v/>
      </c>
      <c r="B16" t="str">
        <v xml:space="preserve">   I  Target (min)      5 for Emergency, 15 for Non-Emergency</v>
      </c>
    </row>
    <row r="17">
      <c r="A17" t="str">
        <v/>
      </c>
      <c r="B17" t="str">
        <v xml:space="preserve">   J  Status           'Breach' if Response &gt; Target, else 'Within SLA'</v>
      </c>
    </row>
    <row r="18">
      <c r="A18" t="str">
        <v/>
      </c>
      <c r="B18" t="str">
        <v xml:space="preserve">   K  Event            1 if breached, else 0</v>
      </c>
    </row>
    <row r="19">
      <c r="A19" t="str">
        <v/>
      </c>
      <c r="B19" t="str">
        <v xml:space="preserve">   L  Damage Points    5 × Event</v>
      </c>
    </row>
    <row r="21">
      <c r="A21" t="str">
        <v>Rules (per contract spec):</v>
      </c>
    </row>
    <row r="22">
      <c r="A22" t="str">
        <v>•</v>
      </c>
      <c r="B22" t="str">
        <v>Emergency responses must not exceed 5 minutes.</v>
      </c>
    </row>
    <row r="23">
      <c r="A23" t="str">
        <v>•</v>
      </c>
      <c r="B23" t="str">
        <v>Non-Emergency responses must not exceed 15 minutes.</v>
      </c>
    </row>
    <row r="24">
      <c r="A24" t="str">
        <v>•</v>
      </c>
      <c r="B24" t="str">
        <v>Each failure = 1 event. Target = 0 events. Each event = 5 damage points.</v>
      </c>
    </row>
    <row r="26">
      <c r="A26" t="str">
        <v>The 'Monthly Summary' and 'Scorecard' sheets roll up from the Incident Log automatically.</v>
      </c>
    </row>
  </sheetData>
  <mergeCells count="1">
    <mergeCell ref="A1:B1"/>
  </mergeCells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Week #</v>
      </c>
      <c r="B1" t="str">
        <v>Week Ending</v>
      </c>
      <c r="C1" t="str">
        <v>Incident ID</v>
      </c>
      <c r="D1" t="str">
        <v>Date</v>
      </c>
      <c r="E1" t="str">
        <v>Time</v>
      </c>
      <c r="F1" t="str">
        <v>Location</v>
      </c>
      <c r="G1" t="str">
        <v>Type</v>
      </c>
      <c r="H1" t="str">
        <v>Response (min)</v>
      </c>
      <c r="I1" t="str">
        <v>Target (min)</v>
      </c>
      <c r="J1" t="str">
        <v>Status</v>
      </c>
      <c r="K1" t="str">
        <v>Event</v>
      </c>
      <c r="L1" t="str">
        <v>Damage Points</v>
      </c>
    </row>
    <row r="2">
      <c r="A2">
        <v>1</v>
      </c>
      <c r="B2" t="str">
        <v>2026-01-04</v>
      </c>
      <c r="C2" t="str">
        <v>INC-0102</v>
      </c>
      <c r="D2" t="str">
        <v>2026-01-02</v>
      </c>
      <c r="E2" t="str">
        <v>07:42</v>
      </c>
      <c r="F2" t="str">
        <v>Terminal 1 — Arrivals</v>
      </c>
      <c r="G2" t="str">
        <v>Emergency</v>
      </c>
      <c r="H2">
        <v>3.1</v>
      </c>
      <c r="I2">
        <v>5</v>
      </c>
      <c r="J2" t="str">
        <v>Within SLA</v>
      </c>
      <c r="K2">
        <v>0</v>
      </c>
      <c r="L2">
        <v>0</v>
      </c>
    </row>
    <row r="3">
      <c r="A3">
        <v>2</v>
      </c>
      <c r="B3" t="str">
        <v>2026-01-11</v>
      </c>
      <c r="C3" t="str">
        <v>INC-0118</v>
      </c>
      <c r="D3" t="str">
        <v>2026-01-08</v>
      </c>
      <c r="E3" t="str">
        <v>14:05</v>
      </c>
      <c r="F3" t="str">
        <v>Airside Gate B</v>
      </c>
      <c r="G3" t="str">
        <v>Non-Emergency</v>
      </c>
      <c r="H3">
        <v>8.4</v>
      </c>
      <c r="I3">
        <v>15</v>
      </c>
      <c r="J3" t="str">
        <v>Within SLA</v>
      </c>
      <c r="K3">
        <v>0</v>
      </c>
      <c r="L3">
        <v>0</v>
      </c>
    </row>
    <row r="4">
      <c r="A4">
        <v>3</v>
      </c>
      <c r="B4" t="str">
        <v>2026-01-18</v>
      </c>
      <c r="C4" t="str">
        <v>INC-0147</v>
      </c>
      <c r="D4" t="str">
        <v>2026-01-15</v>
      </c>
      <c r="E4" t="str">
        <v>22:37</v>
      </c>
      <c r="F4" t="str">
        <v>Perimeter Road</v>
      </c>
      <c r="G4" t="str">
        <v>Emergency</v>
      </c>
      <c r="H4">
        <v>6.2</v>
      </c>
      <c r="I4">
        <v>5</v>
      </c>
      <c r="J4" t="str">
        <v>Breach</v>
      </c>
      <c r="K4">
        <v>1</v>
      </c>
      <c r="L4">
        <v>5</v>
      </c>
    </row>
    <row r="5">
      <c r="A5">
        <v>4</v>
      </c>
      <c r="B5" t="str">
        <v>2026-01-25</v>
      </c>
      <c r="C5" t="str">
        <v>INC-0163</v>
      </c>
      <c r="D5" t="str">
        <v>2026-01-22</v>
      </c>
      <c r="E5" t="str">
        <v>09:18</v>
      </c>
      <c r="F5" t="str">
        <v>Central Hall</v>
      </c>
      <c r="G5" t="str">
        <v>Non-Emergency</v>
      </c>
      <c r="H5">
        <v>11.2</v>
      </c>
      <c r="I5">
        <v>15</v>
      </c>
      <c r="J5" t="str">
        <v>Within SLA</v>
      </c>
      <c r="K5">
        <v>0</v>
      </c>
      <c r="L5">
        <v>0</v>
      </c>
    </row>
    <row r="6">
      <c r="A6">
        <v>5</v>
      </c>
      <c r="B6" t="str">
        <v>2026-02-01</v>
      </c>
      <c r="C6" t="str">
        <v>INC-0205</v>
      </c>
      <c r="D6" t="str">
        <v>2026-01-29</v>
      </c>
      <c r="E6" t="str">
        <v>16:51</v>
      </c>
      <c r="F6" t="str">
        <v>Ground Transport Hub</v>
      </c>
      <c r="G6" t="str">
        <v>Emergency</v>
      </c>
      <c r="H6">
        <v>2.8</v>
      </c>
      <c r="I6">
        <v>5</v>
      </c>
      <c r="J6" t="str">
        <v>Within SLA</v>
      </c>
      <c r="K6">
        <v>0</v>
      </c>
      <c r="L6">
        <v>0</v>
      </c>
    </row>
    <row r="7">
      <c r="A7">
        <v>6</v>
      </c>
      <c r="B7" t="str">
        <v>2026-02-08</v>
      </c>
      <c r="C7" t="str">
        <v>INC-0230</v>
      </c>
      <c r="D7" t="str">
        <v>2026-02-05</v>
      </c>
      <c r="E7" t="str">
        <v>11:26</v>
      </c>
      <c r="F7" t="str">
        <v>Cargo Apron</v>
      </c>
      <c r="G7" t="str">
        <v>Non-Emergency</v>
      </c>
      <c r="H7">
        <v>16.4</v>
      </c>
      <c r="I7">
        <v>15</v>
      </c>
      <c r="J7" t="str">
        <v>Breach</v>
      </c>
      <c r="K7">
        <v>1</v>
      </c>
      <c r="L7">
        <v>5</v>
      </c>
    </row>
    <row r="8">
      <c r="A8">
        <v>7</v>
      </c>
      <c r="B8" t="str">
        <v>2026-02-15</v>
      </c>
      <c r="C8" t="str">
        <v>INC-0255</v>
      </c>
      <c r="D8" t="str">
        <v>2026-02-12</v>
      </c>
      <c r="E8" t="str">
        <v>05:44</v>
      </c>
      <c r="F8" t="str">
        <v>Terminal 2 — Concourse</v>
      </c>
      <c r="G8" t="str">
        <v>Emergency</v>
      </c>
      <c r="H8">
        <v>3.7</v>
      </c>
      <c r="I8">
        <v>5</v>
      </c>
      <c r="J8" t="str">
        <v>Within SLA</v>
      </c>
      <c r="K8">
        <v>0</v>
      </c>
      <c r="L8">
        <v>0</v>
      </c>
    </row>
    <row r="9">
      <c r="A9">
        <v>8</v>
      </c>
      <c r="B9" t="str">
        <v>2026-02-22</v>
      </c>
      <c r="C9" t="str">
        <v>INC-0287</v>
      </c>
      <c r="D9" t="str">
        <v>2026-02-19</v>
      </c>
      <c r="E9" t="str">
        <v>19:03</v>
      </c>
      <c r="F9" t="str">
        <v>Landside Forecourt</v>
      </c>
      <c r="G9" t="str">
        <v>Non-Emergency</v>
      </c>
      <c r="H9">
        <v>9.9</v>
      </c>
      <c r="I9">
        <v>15</v>
      </c>
      <c r="J9" t="str">
        <v>Within SLA</v>
      </c>
      <c r="K9">
        <v>0</v>
      </c>
      <c r="L9">
        <v>0</v>
      </c>
    </row>
    <row r="10">
      <c r="A10">
        <v>9</v>
      </c>
      <c r="B10" t="str">
        <v>2026-03-01</v>
      </c>
      <c r="C10" t="str">
        <v>INC-0311</v>
      </c>
      <c r="D10" t="str">
        <v>2026-02-26</v>
      </c>
      <c r="E10" t="str">
        <v>13:22</v>
      </c>
      <c r="F10" t="str">
        <v>Airside Gate C</v>
      </c>
      <c r="G10" t="str">
        <v>Emergency</v>
      </c>
      <c r="H10">
        <v>4.4</v>
      </c>
      <c r="I10">
        <v>5</v>
      </c>
      <c r="J10" t="str">
        <v>Within SLA</v>
      </c>
      <c r="K10">
        <v>0</v>
      </c>
      <c r="L10">
        <v>0</v>
      </c>
    </row>
    <row r="11">
      <c r="A11">
        <v>10</v>
      </c>
      <c r="B11" t="str">
        <v>2026-03-08</v>
      </c>
      <c r="C11" t="str">
        <v>INC-0333</v>
      </c>
      <c r="D11" t="str">
        <v>2026-03-05</v>
      </c>
      <c r="E11" t="str">
        <v>08:47</v>
      </c>
      <c r="F11" t="str">
        <v>Terminal 1 — Departures</v>
      </c>
      <c r="G11" t="str">
        <v>Non-Emergency</v>
      </c>
      <c r="H11">
        <v>10.1</v>
      </c>
      <c r="I11">
        <v>15</v>
      </c>
      <c r="J11" t="str">
        <v>Within SLA</v>
      </c>
      <c r="K11">
        <v>0</v>
      </c>
      <c r="L11">
        <v>0</v>
      </c>
    </row>
    <row r="12">
      <c r="A12">
        <v>11</v>
      </c>
      <c r="B12" t="str">
        <v>2026-03-15</v>
      </c>
      <c r="C12" t="str">
        <v>INC-0360</v>
      </c>
      <c r="D12" t="str">
        <v>2026-03-12</v>
      </c>
      <c r="E12" t="str">
        <v>21:15</v>
      </c>
      <c r="F12" t="str">
        <v>Central Hall</v>
      </c>
      <c r="G12" t="str">
        <v>Emergency</v>
      </c>
      <c r="H12">
        <v>3.9</v>
      </c>
      <c r="I12">
        <v>5</v>
      </c>
      <c r="J12" t="str">
        <v>Within SLA</v>
      </c>
      <c r="K12">
        <v>0</v>
      </c>
      <c r="L12">
        <v>0</v>
      </c>
    </row>
    <row r="13">
      <c r="A13">
        <v>12</v>
      </c>
      <c r="B13" t="str">
        <v>2026-03-22</v>
      </c>
      <c r="C13" t="str">
        <v>INC-0388</v>
      </c>
      <c r="D13" t="str">
        <v>2026-03-19</v>
      </c>
      <c r="E13" t="str">
        <v>12:40</v>
      </c>
      <c r="F13" t="str">
        <v>Cargo Apron</v>
      </c>
      <c r="G13" t="str">
        <v>Non-Emergency</v>
      </c>
      <c r="H13">
        <v>12.7</v>
      </c>
      <c r="I13">
        <v>15</v>
      </c>
      <c r="J13" t="str">
        <v>Within SLA</v>
      </c>
      <c r="K13">
        <v>0</v>
      </c>
      <c r="L13">
        <v>0</v>
      </c>
    </row>
    <row r="14">
      <c r="A14">
        <v>13</v>
      </c>
      <c r="B14" t="str">
        <v>2026-03-29</v>
      </c>
      <c r="C14" t="str">
        <v>INC-0414</v>
      </c>
      <c r="D14" t="str">
        <v>2026-03-26</v>
      </c>
      <c r="E14" t="str">
        <v>06:29</v>
      </c>
      <c r="F14" t="str">
        <v>Ground Transport Hub</v>
      </c>
      <c r="G14" t="str">
        <v>Emergency</v>
      </c>
      <c r="H14">
        <v>2.6</v>
      </c>
      <c r="I14">
        <v>5</v>
      </c>
      <c r="J14" t="str">
        <v>Within SLA</v>
      </c>
      <c r="K14">
        <v>0</v>
      </c>
      <c r="L14">
        <v>0</v>
      </c>
    </row>
    <row r="15">
      <c r="A15">
        <v>14</v>
      </c>
      <c r="B15" t="str">
        <v>2026-04-05</v>
      </c>
      <c r="C15" t="str">
        <v>INC-0446</v>
      </c>
      <c r="D15" t="str">
        <v>2026-04-02</v>
      </c>
      <c r="E15" t="str">
        <v>15:58</v>
      </c>
      <c r="F15" t="str">
        <v>Terminal 2 — Concourse</v>
      </c>
      <c r="G15" t="str">
        <v>Non-Emergency</v>
      </c>
      <c r="H15">
        <v>7.8</v>
      </c>
      <c r="I15">
        <v>15</v>
      </c>
      <c r="J15" t="str">
        <v>Within SLA</v>
      </c>
      <c r="K15">
        <v>0</v>
      </c>
      <c r="L15">
        <v>0</v>
      </c>
    </row>
    <row r="16">
      <c r="A16">
        <v>15</v>
      </c>
      <c r="B16" t="str">
        <v>2026-04-12</v>
      </c>
      <c r="C16" t="str">
        <v>INC-0471</v>
      </c>
      <c r="D16" t="str">
        <v>2026-04-09</v>
      </c>
      <c r="E16" t="str">
        <v>10:11</v>
      </c>
      <c r="F16" t="str">
        <v>Airside Gate B</v>
      </c>
      <c r="G16" t="str">
        <v>Emergency</v>
      </c>
      <c r="H16">
        <v>3.3</v>
      </c>
      <c r="I16">
        <v>5</v>
      </c>
      <c r="J16" t="str">
        <v>Within SLA</v>
      </c>
      <c r="K16">
        <v>0</v>
      </c>
      <c r="L16">
        <v>0</v>
      </c>
    </row>
    <row r="17">
      <c r="A17">
        <v>16</v>
      </c>
      <c r="B17" t="str">
        <v>2026-04-19</v>
      </c>
      <c r="C17" t="str">
        <v>INC-0497</v>
      </c>
      <c r="D17" t="str">
        <v>2026-04-16</v>
      </c>
      <c r="E17" t="str">
        <v>23:49</v>
      </c>
      <c r="F17" t="str">
        <v>Perimeter Road</v>
      </c>
      <c r="G17" t="str">
        <v>Non-Emergency</v>
      </c>
      <c r="H17">
        <v>13.6</v>
      </c>
      <c r="I17">
        <v>15</v>
      </c>
      <c r="J17" t="str">
        <v>Within SLA</v>
      </c>
      <c r="K17">
        <v>0</v>
      </c>
      <c r="L17">
        <v>0</v>
      </c>
    </row>
    <row r="18">
      <c r="A18">
        <v>17</v>
      </c>
      <c r="B18" t="str">
        <v>2026-04-26</v>
      </c>
      <c r="C18" t="str">
        <v>INC-0523</v>
      </c>
      <c r="D18" t="str">
        <v>2026-04-23</v>
      </c>
      <c r="E18" t="str">
        <v>09:03</v>
      </c>
      <c r="F18" t="str">
        <v>Terminal 1 — Arrivals</v>
      </c>
      <c r="G18" t="str">
        <v>Emergency</v>
      </c>
      <c r="H18">
        <v>3</v>
      </c>
      <c r="I18">
        <v>5</v>
      </c>
      <c r="J18" t="str">
        <v>Within SLA</v>
      </c>
      <c r="K18">
        <v>0</v>
      </c>
      <c r="L18">
        <v>0</v>
      </c>
    </row>
    <row r="19">
      <c r="A19">
        <v>18</v>
      </c>
      <c r="B19" t="str">
        <v>2026-05-03</v>
      </c>
      <c r="C19" t="str">
        <v>INC-0558</v>
      </c>
      <c r="D19" t="str">
        <v>2026-04-30</v>
      </c>
      <c r="E19" t="str">
        <v>17:34</v>
      </c>
      <c r="F19" t="str">
        <v>Landside Forecourt</v>
      </c>
      <c r="G19" t="str">
        <v>Non-Emergency</v>
      </c>
      <c r="H19">
        <v>15.8</v>
      </c>
      <c r="I19">
        <v>15</v>
      </c>
      <c r="J19" t="str">
        <v>Breach</v>
      </c>
      <c r="K19">
        <v>1</v>
      </c>
      <c r="L19">
        <v>5</v>
      </c>
    </row>
    <row r="20">
      <c r="A20">
        <v>19</v>
      </c>
      <c r="B20" t="str">
        <v>2026-05-10</v>
      </c>
      <c r="C20" t="str">
        <v>INC-0582</v>
      </c>
      <c r="D20" t="str">
        <v>2026-05-07</v>
      </c>
      <c r="E20" t="str">
        <v>04:52</v>
      </c>
      <c r="F20" t="str">
        <v>Cargo Apron</v>
      </c>
      <c r="G20" t="str">
        <v>Emergency</v>
      </c>
      <c r="H20">
        <v>4.1</v>
      </c>
      <c r="I20">
        <v>5</v>
      </c>
      <c r="J20" t="str">
        <v>Within SLA</v>
      </c>
      <c r="K20">
        <v>0</v>
      </c>
      <c r="L20">
        <v>0</v>
      </c>
    </row>
    <row r="21">
      <c r="A21">
        <v>20</v>
      </c>
      <c r="B21" t="str">
        <v>2026-05-17</v>
      </c>
      <c r="C21" t="str">
        <v>INC-0610</v>
      </c>
      <c r="D21" t="str">
        <v>2026-05-14</v>
      </c>
      <c r="E21" t="str">
        <v>20:27</v>
      </c>
      <c r="F21" t="str">
        <v>Central Hall</v>
      </c>
      <c r="G21" t="str">
        <v>Non-Emergency</v>
      </c>
      <c r="H21">
        <v>8.9</v>
      </c>
      <c r="I21">
        <v>15</v>
      </c>
      <c r="J21" t="str">
        <v>Within SLA</v>
      </c>
      <c r="K21">
        <v>0</v>
      </c>
      <c r="L21">
        <v>0</v>
      </c>
    </row>
    <row r="22">
      <c r="A22">
        <v>21</v>
      </c>
      <c r="B22" t="str">
        <v>2026-05-24</v>
      </c>
      <c r="C22" t="str">
        <v>INC-0637</v>
      </c>
      <c r="D22" t="str">
        <v>2026-05-21</v>
      </c>
      <c r="E22" t="str">
        <v>11:48</v>
      </c>
      <c r="F22" t="str">
        <v>Airside Gate C</v>
      </c>
      <c r="G22" t="str">
        <v>Emergency</v>
      </c>
      <c r="H22">
        <v>2.7</v>
      </c>
      <c r="I22">
        <v>5</v>
      </c>
      <c r="J22" t="str">
        <v>Within SLA</v>
      </c>
      <c r="K22">
        <v>0</v>
      </c>
      <c r="L22">
        <v>0</v>
      </c>
    </row>
    <row r="23">
      <c r="A23">
        <v>22</v>
      </c>
      <c r="B23" t="str">
        <v>2026-05-31</v>
      </c>
      <c r="C23" t="str">
        <v>INC-0664</v>
      </c>
      <c r="D23" t="str">
        <v>2026-05-28</v>
      </c>
      <c r="E23" t="str">
        <v>14:19</v>
      </c>
      <c r="F23" t="str">
        <v>Terminal 2 — Concourse</v>
      </c>
      <c r="G23" t="str">
        <v>Non-Emergency</v>
      </c>
      <c r="H23">
        <v>7.2</v>
      </c>
      <c r="I23">
        <v>15</v>
      </c>
      <c r="J23" t="str">
        <v>Within SLA</v>
      </c>
      <c r="K23">
        <v>0</v>
      </c>
      <c r="L23">
        <v>0</v>
      </c>
    </row>
    <row r="24">
      <c r="A24">
        <v>23</v>
      </c>
      <c r="B24" t="str">
        <v>2026-06-07</v>
      </c>
      <c r="C24" t="str">
        <v>INC-0691</v>
      </c>
      <c r="D24" t="str">
        <v>2026-06-04</v>
      </c>
      <c r="E24" t="str">
        <v>08:05</v>
      </c>
      <c r="F24" t="str">
        <v>Terminal 1 — Departures</v>
      </c>
      <c r="G24" t="str">
        <v>Emergency</v>
      </c>
      <c r="H24">
        <v>3.5</v>
      </c>
      <c r="I24">
        <v>5</v>
      </c>
      <c r="J24" t="str">
        <v>Within SLA</v>
      </c>
      <c r="K24">
        <v>0</v>
      </c>
      <c r="L24">
        <v>0</v>
      </c>
    </row>
    <row r="25">
      <c r="A25">
        <v>24</v>
      </c>
      <c r="B25" t="str">
        <v>2026-06-14</v>
      </c>
      <c r="C25" t="str">
        <v>INC-0709</v>
      </c>
      <c r="D25" t="str">
        <v>2026-06-11</v>
      </c>
      <c r="E25" t="str">
        <v>18:41</v>
      </c>
      <c r="F25" t="str">
        <v>Ground Transport Hub</v>
      </c>
      <c r="G25" t="str">
        <v>Non-Emergency</v>
      </c>
      <c r="H25">
        <v>9.3</v>
      </c>
      <c r="I25">
        <v>15</v>
      </c>
      <c r="J25" t="str">
        <v>Within SLA</v>
      </c>
      <c r="K25">
        <v>0</v>
      </c>
      <c r="L25">
        <v>0</v>
      </c>
    </row>
    <row r="26">
      <c r="A26">
        <v>25</v>
      </c>
      <c r="B26" t="str">
        <v>2026-06-21</v>
      </c>
      <c r="C26" t="str">
        <v>INC-0736</v>
      </c>
      <c r="D26" t="str">
        <v>2026-06-18</v>
      </c>
      <c r="E26" t="str">
        <v>12:33</v>
      </c>
      <c r="F26" t="str">
        <v>Airside Gate B</v>
      </c>
      <c r="G26" t="str">
        <v>Emergency</v>
      </c>
      <c r="H26">
        <v>3.2</v>
      </c>
      <c r="I26">
        <v>5</v>
      </c>
      <c r="J26" t="str">
        <v>Within SLA</v>
      </c>
      <c r="K26">
        <v>0</v>
      </c>
      <c r="L26">
        <v>0</v>
      </c>
    </row>
  </sheetData>
  <ignoredErrors>
    <ignoredError numberStoredAsText="1" sqref="A1:L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Emergency Incidents</v>
      </c>
      <c r="C1" t="str">
        <v>Non-Emergency Incidents</v>
      </c>
      <c r="D1" t="str">
        <v>Emergency Breaches</v>
      </c>
      <c r="E1" t="str">
        <v>Non-Emergency Breaches</v>
      </c>
      <c r="F1" t="str">
        <v>Avg Emergency (min)</v>
      </c>
      <c r="G1" t="str">
        <v>Avg Non-Emergency (min)</v>
      </c>
    </row>
    <row r="2">
      <c r="A2" t="str">
        <v>Jan 2026</v>
      </c>
      <c r="B2">
        <v>3</v>
      </c>
      <c r="C2">
        <v>2</v>
      </c>
      <c r="D2">
        <v>1</v>
      </c>
      <c r="E2">
        <v>0</v>
      </c>
      <c r="F2">
        <v>4</v>
      </c>
      <c r="G2">
        <v>9.8</v>
      </c>
    </row>
    <row r="3">
      <c r="A3" t="str">
        <v>Feb 2026</v>
      </c>
      <c r="B3">
        <v>2</v>
      </c>
      <c r="C3">
        <v>2</v>
      </c>
      <c r="D3">
        <v>0</v>
      </c>
      <c r="E3">
        <v>1</v>
      </c>
      <c r="F3">
        <v>4.1</v>
      </c>
      <c r="G3">
        <v>13.2</v>
      </c>
    </row>
    <row r="4">
      <c r="A4" t="str">
        <v>Mar 2026</v>
      </c>
      <c r="B4">
        <v>2</v>
      </c>
      <c r="C4">
        <v>2</v>
      </c>
      <c r="D4">
        <v>0</v>
      </c>
      <c r="E4">
        <v>0</v>
      </c>
      <c r="F4">
        <v>3.3</v>
      </c>
      <c r="G4">
        <v>11.4</v>
      </c>
    </row>
    <row r="5">
      <c r="A5" t="str">
        <v>Apr 2026</v>
      </c>
      <c r="B5">
        <v>2</v>
      </c>
      <c r="C5">
        <v>3</v>
      </c>
      <c r="D5">
        <v>0</v>
      </c>
      <c r="E5">
        <v>1</v>
      </c>
      <c r="F5">
        <v>3.2</v>
      </c>
      <c r="G5">
        <v>12.4</v>
      </c>
    </row>
    <row r="6">
      <c r="A6" t="str">
        <v>May 2026</v>
      </c>
      <c r="B6">
        <v>2</v>
      </c>
      <c r="C6">
        <v>2</v>
      </c>
      <c r="D6">
        <v>0</v>
      </c>
      <c r="E6">
        <v>0</v>
      </c>
      <c r="F6">
        <v>3.4</v>
      </c>
      <c r="G6">
        <v>8.1</v>
      </c>
    </row>
    <row r="7">
      <c r="A7" t="str">
        <v>Jun 2026</v>
      </c>
      <c r="B7">
        <v>2</v>
      </c>
      <c r="C7">
        <v>2</v>
      </c>
      <c r="D7">
        <v>0</v>
      </c>
      <c r="E7">
        <v>0</v>
      </c>
      <c r="F7">
        <v>3.4</v>
      </c>
      <c r="G7">
        <v>10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KPI-16 Response Times — Scorecard</v>
      </c>
    </row>
    <row r="2">
      <c r="A2" t="str">
        <v>Reporting period</v>
      </c>
      <c r="B2" t="str">
        <v>2026-01-02 – 2026-06-25</v>
      </c>
    </row>
    <row r="3">
      <c r="A3" t="str">
        <v>Weeks tracked</v>
      </c>
      <c r="B3">
        <v>26</v>
      </c>
    </row>
    <row r="5">
      <c r="A5" t="str">
        <v>Total incidents</v>
      </c>
      <c r="B5">
        <v>26</v>
      </c>
    </row>
    <row r="6">
      <c r="A6" t="str">
        <v>Total events (breaches)</v>
      </c>
      <c r="B6">
        <v>3</v>
      </c>
    </row>
    <row r="7">
      <c r="A7" t="str">
        <v>Target events</v>
      </c>
      <c r="B7">
        <v>0</v>
      </c>
    </row>
    <row r="8">
      <c r="A8" t="str">
        <v>Damage points (5 × events)</v>
      </c>
      <c r="B8">
        <v>15</v>
      </c>
    </row>
    <row r="9">
      <c r="A9" t="str">
        <v>KPI status</v>
      </c>
      <c r="B9" t="str">
        <v>Fail</v>
      </c>
    </row>
  </sheetData>
  <mergeCells count="1">
    <mergeCell ref="A1:B1"/>
  </mergeCells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KPI-16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COUNTA('Incident Log'!A2:A26)</f>
      </c>
    </row>
    <row r="4">
      <c r="A4" t="str">
        <v>Total Damage Points</v>
      </c>
      <c r="B4" t="e">
        <f>SUM('Incident Log'!L2:L26)</f>
      </c>
    </row>
    <row r="5">
      <c r="A5" t="str">
        <v>Avg Damage / Record</v>
      </c>
      <c r="B5" t="e">
        <f>IFERROR(AVERAGE('Incident Log'!L2:L26),0)</f>
      </c>
    </row>
    <row r="6">
      <c r="A6" t="str">
        <v>Records With Damage</v>
      </c>
      <c r="B6" t="e">
        <f>COUNTIF('Incident Log'!L2:L26,"&gt;0")</f>
      </c>
    </row>
    <row r="7">
      <c r="A7" t="str">
        <v>Fail / Breach Count</v>
      </c>
      <c r="B7" t="e">
        <f>COUNTIF('Incident Log'!J2:J26,"*ail*")+COUNTIF('Incident Log'!J2:J26,"*reach*")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Incident Log</vt:lpstr>
      <vt:lpstr>Monthly Summary</vt:lpstr>
      <vt:lpstr>Scorecard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