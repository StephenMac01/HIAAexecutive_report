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Event ID</v>
      </c>
      <c r="B1" t="str">
        <v>Date</v>
      </c>
      <c r="C1" t="str">
        <v>Source</v>
      </c>
      <c r="D1" t="str">
        <v>Location</v>
      </c>
      <c r="E1" t="str">
        <v>Category</v>
      </c>
      <c r="F1" t="str">
        <v>Substantiated</v>
      </c>
      <c r="G1" t="str">
        <v>Treatment</v>
      </c>
      <c r="H1" t="str">
        <v>Damage Points</v>
      </c>
    </row>
    <row r="2">
      <c r="A2" t="str">
        <v>EVT-2026-001</v>
      </c>
      <c r="B2" t="str">
        <v>2026-01-14</v>
      </c>
      <c r="C2" t="str">
        <v>Public Complaint</v>
      </c>
      <c r="D2" t="str">
        <v>Arrivals</v>
      </c>
      <c r="E2" t="str">
        <v>Lack of Professionalism</v>
      </c>
      <c r="F2" t="str">
        <v>No</v>
      </c>
      <c r="G2" t="str">
        <v>Excluded</v>
      </c>
      <c r="H2">
        <v>0</v>
      </c>
    </row>
    <row r="3">
      <c r="A3" t="str">
        <v>EVT-2026-002</v>
      </c>
      <c r="B3" t="str">
        <v>2026-01-26</v>
      </c>
      <c r="C3" t="str">
        <v>HIAA Annual Report</v>
      </c>
      <c r="D3" t="str">
        <v>Terminal A</v>
      </c>
      <c r="E3" t="str">
        <v>Lack of Professionalism</v>
      </c>
      <c r="F3" t="str">
        <v>Yes</v>
      </c>
      <c r="G3" t="str">
        <v>Included</v>
      </c>
      <c r="H3">
        <v>2</v>
      </c>
    </row>
    <row r="4">
      <c r="A4" t="str">
        <v>EVT-2026-003</v>
      </c>
      <c r="B4" t="str">
        <v>2026-02-06</v>
      </c>
      <c r="C4" t="str">
        <v>Public Complaint</v>
      </c>
      <c r="D4" t="str">
        <v>Terminal A</v>
      </c>
      <c r="E4" t="str">
        <v>Inaccurate Information</v>
      </c>
      <c r="F4" t="str">
        <v>Yes</v>
      </c>
      <c r="G4" t="str">
        <v>Included</v>
      </c>
      <c r="H4">
        <v>2</v>
      </c>
    </row>
    <row r="5">
      <c r="A5" t="str">
        <v>EVT-2026-004</v>
      </c>
      <c r="B5" t="str">
        <v>2026-02-09</v>
      </c>
      <c r="C5" t="str">
        <v>HIAA Annual Report</v>
      </c>
      <c r="D5" t="str">
        <v>Departures</v>
      </c>
      <c r="E5" t="str">
        <v>Lack of Professionalism</v>
      </c>
      <c r="F5" t="str">
        <v>No</v>
      </c>
      <c r="G5" t="str">
        <v>Excluded</v>
      </c>
      <c r="H5">
        <v>0</v>
      </c>
    </row>
    <row r="6">
      <c r="A6" t="str">
        <v>EVT-2026-005</v>
      </c>
      <c r="B6" t="str">
        <v>2026-02-18</v>
      </c>
      <c r="C6" t="str">
        <v>HIAA Annual Report</v>
      </c>
      <c r="D6" t="str">
        <v>Arrivals</v>
      </c>
      <c r="E6" t="str">
        <v>Inaccurate Information</v>
      </c>
      <c r="F6" t="str">
        <v>No</v>
      </c>
      <c r="G6" t="str">
        <v>Excluded</v>
      </c>
      <c r="H6">
        <v>0</v>
      </c>
    </row>
    <row r="7">
      <c r="A7" t="str">
        <v>EVT-2026-006</v>
      </c>
      <c r="B7" t="str">
        <v>2026-03-01</v>
      </c>
      <c r="C7" t="str">
        <v>Public Complaint</v>
      </c>
      <c r="D7" t="str">
        <v>Departures</v>
      </c>
      <c r="E7" t="str">
        <v>Destructive Behaviour</v>
      </c>
      <c r="F7" t="str">
        <v>No</v>
      </c>
      <c r="G7" t="str">
        <v>Excluded</v>
      </c>
      <c r="H7">
        <v>0</v>
      </c>
    </row>
    <row r="8">
      <c r="A8" t="str">
        <v>EVT-2026-007</v>
      </c>
      <c r="B8" t="str">
        <v>2026-03-05</v>
      </c>
      <c r="C8" t="str">
        <v>HIAA Annual Report</v>
      </c>
      <c r="D8" t="str">
        <v>Operations Office</v>
      </c>
      <c r="E8" t="str">
        <v>Inaccurate Information</v>
      </c>
      <c r="F8" t="str">
        <v>Yes</v>
      </c>
      <c r="G8" t="str">
        <v>Excluded</v>
      </c>
      <c r="H8">
        <v>0</v>
      </c>
    </row>
    <row r="9">
      <c r="A9" t="str">
        <v>EVT-2026-008</v>
      </c>
      <c r="B9" t="str">
        <v>2026-03-09</v>
      </c>
      <c r="C9" t="str">
        <v>HIAA Annual Report</v>
      </c>
      <c r="D9" t="str">
        <v>Checkpoint 3</v>
      </c>
      <c r="E9" t="str">
        <v>Unsafe Behaviour</v>
      </c>
      <c r="F9" t="str">
        <v>Yes</v>
      </c>
      <c r="G9" t="str">
        <v>Excluded</v>
      </c>
      <c r="H9">
        <v>0</v>
      </c>
    </row>
    <row r="10">
      <c r="A10" t="str">
        <v>EVT-2026-009</v>
      </c>
      <c r="B10" t="str">
        <v>2026-03-19</v>
      </c>
      <c r="C10" t="str">
        <v>Public Complaint</v>
      </c>
      <c r="D10" t="str">
        <v>Departures</v>
      </c>
      <c r="E10" t="str">
        <v>Lack of Professionalism</v>
      </c>
      <c r="F10" t="str">
        <v>No</v>
      </c>
      <c r="G10" t="str">
        <v>Excluded</v>
      </c>
      <c r="H10">
        <v>0</v>
      </c>
    </row>
    <row r="11">
      <c r="A11" t="str">
        <v>EVT-2026-010</v>
      </c>
      <c r="B11" t="str">
        <v>2026-03-23</v>
      </c>
      <c r="C11" t="str">
        <v>HIAA Annual Report</v>
      </c>
      <c r="D11" t="str">
        <v>Arrivals</v>
      </c>
      <c r="E11" t="str">
        <v>Destructive Behaviour</v>
      </c>
      <c r="F11" t="str">
        <v>Yes</v>
      </c>
      <c r="G11" t="str">
        <v>Included</v>
      </c>
      <c r="H11">
        <v>2</v>
      </c>
    </row>
    <row r="12">
      <c r="A12" t="str">
        <v>EVT-2026-011</v>
      </c>
      <c r="B12" t="str">
        <v>2026-03-29</v>
      </c>
      <c r="C12" t="str">
        <v>Operational Report</v>
      </c>
      <c r="D12" t="str">
        <v>Terminal B</v>
      </c>
      <c r="E12" t="str">
        <v>Destructive Behaviour</v>
      </c>
      <c r="F12" t="str">
        <v>No</v>
      </c>
      <c r="G12" t="str">
        <v>Excluded</v>
      </c>
      <c r="H12">
        <v>0</v>
      </c>
    </row>
    <row r="13">
      <c r="A13" t="str">
        <v>EVT-2026-012</v>
      </c>
      <c r="B13" t="str">
        <v>2026-04-05</v>
      </c>
      <c r="C13" t="str">
        <v>Operational Report</v>
      </c>
      <c r="D13" t="str">
        <v>Restricted Area</v>
      </c>
      <c r="E13" t="str">
        <v>Lack of Professionalism</v>
      </c>
      <c r="F13" t="str">
        <v>Yes</v>
      </c>
      <c r="G13" t="str">
        <v>Included</v>
      </c>
      <c r="H13">
        <v>2</v>
      </c>
    </row>
    <row r="14">
      <c r="A14" t="str">
        <v>EVT-2026-013</v>
      </c>
      <c r="B14" t="str">
        <v>2026-04-11</v>
      </c>
      <c r="C14" t="str">
        <v>Public Complaint</v>
      </c>
      <c r="D14" t="str">
        <v>Arrivals</v>
      </c>
      <c r="E14" t="str">
        <v>Inaccurate Information</v>
      </c>
      <c r="F14" t="str">
        <v>No</v>
      </c>
      <c r="G14" t="str">
        <v>Excluded</v>
      </c>
      <c r="H14">
        <v>0</v>
      </c>
    </row>
    <row r="15">
      <c r="A15" t="str">
        <v>EVT-2026-014</v>
      </c>
      <c r="B15" t="str">
        <v>2026-04-21</v>
      </c>
      <c r="C15" t="str">
        <v>HIAA Annual Report</v>
      </c>
      <c r="D15" t="str">
        <v>Departures</v>
      </c>
      <c r="E15" t="str">
        <v>Refusal of Service</v>
      </c>
      <c r="F15" t="str">
        <v>No</v>
      </c>
      <c r="G15" t="str">
        <v>Excluded</v>
      </c>
      <c r="H15">
        <v>0</v>
      </c>
    </row>
    <row r="16">
      <c r="A16" t="str">
        <v>EVT-2026-015</v>
      </c>
      <c r="B16" t="str">
        <v>2026-04-30</v>
      </c>
      <c r="C16" t="str">
        <v>Operational Report</v>
      </c>
      <c r="D16" t="str">
        <v>Departures</v>
      </c>
      <c r="E16" t="str">
        <v>Destructive Behaviour</v>
      </c>
      <c r="F16" t="str">
        <v>Yes</v>
      </c>
      <c r="G16" t="str">
        <v>Excluded</v>
      </c>
      <c r="H16">
        <v>0</v>
      </c>
    </row>
    <row r="17">
      <c r="A17" t="str">
        <v>EVT-2026-016</v>
      </c>
      <c r="B17" t="str">
        <v>2026-05-11</v>
      </c>
      <c r="C17" t="str">
        <v>Operational Report</v>
      </c>
      <c r="D17" t="str">
        <v>Arrivals</v>
      </c>
      <c r="E17" t="str">
        <v>Refusal of Service</v>
      </c>
      <c r="F17" t="str">
        <v>No</v>
      </c>
      <c r="G17" t="str">
        <v>Excluded</v>
      </c>
      <c r="H17">
        <v>0</v>
      </c>
    </row>
    <row r="18">
      <c r="A18" t="str">
        <v>EVT-2026-017</v>
      </c>
      <c r="B18" t="str">
        <v>2026-05-17</v>
      </c>
      <c r="C18" t="str">
        <v>Public Complaint</v>
      </c>
      <c r="D18" t="str">
        <v>Terminal B</v>
      </c>
      <c r="E18" t="str">
        <v>Unsafe Behaviour</v>
      </c>
      <c r="F18" t="str">
        <v>Yes</v>
      </c>
      <c r="G18" t="str">
        <v>Excluded</v>
      </c>
      <c r="H18">
        <v>0</v>
      </c>
    </row>
    <row r="19">
      <c r="A19" t="str">
        <v>EVT-2026-018</v>
      </c>
      <c r="B19" t="str">
        <v>2026-05-25</v>
      </c>
      <c r="C19" t="str">
        <v>HIAA Annual Report</v>
      </c>
      <c r="D19" t="str">
        <v>Terminal B</v>
      </c>
      <c r="E19" t="str">
        <v>Refusal of Service</v>
      </c>
      <c r="F19" t="str">
        <v>Yes</v>
      </c>
      <c r="G19" t="str">
        <v>Included</v>
      </c>
      <c r="H19">
        <v>2</v>
      </c>
    </row>
    <row r="20">
      <c r="A20" t="str">
        <v>EVT-2026-019</v>
      </c>
      <c r="B20" t="str">
        <v>2026-05-31</v>
      </c>
      <c r="C20" t="str">
        <v>Public Complaint</v>
      </c>
      <c r="D20" t="str">
        <v>Operations Office</v>
      </c>
      <c r="E20" t="str">
        <v>Inaccurate Information</v>
      </c>
      <c r="F20" t="str">
        <v>Yes</v>
      </c>
      <c r="G20" t="str">
        <v>Excluded</v>
      </c>
      <c r="H20">
        <v>0</v>
      </c>
    </row>
    <row r="21">
      <c r="A21" t="str">
        <v>EVT-2026-020</v>
      </c>
      <c r="B21" t="str">
        <v>2026-06-11</v>
      </c>
      <c r="C21" t="str">
        <v>Public Complaint</v>
      </c>
      <c r="D21" t="str">
        <v>Gate 12</v>
      </c>
      <c r="E21" t="str">
        <v>Unsafe Behaviour</v>
      </c>
      <c r="F21" t="str">
        <v>Yes</v>
      </c>
      <c r="G21" t="str">
        <v>Excluded</v>
      </c>
      <c r="H21">
        <v>0</v>
      </c>
    </row>
    <row r="22">
      <c r="A22" t="str">
        <v>EVT-2026-021</v>
      </c>
      <c r="B22" t="str">
        <v>2026-06-19</v>
      </c>
      <c r="C22" t="str">
        <v>HIAA Annual Report</v>
      </c>
      <c r="D22" t="str">
        <v>Operations Office</v>
      </c>
      <c r="E22" t="str">
        <v>Inaccurate Information</v>
      </c>
      <c r="F22" t="str">
        <v>No</v>
      </c>
      <c r="G22" t="str">
        <v>Excluded</v>
      </c>
      <c r="H22">
        <v>0</v>
      </c>
    </row>
    <row r="23">
      <c r="A23" t="str">
        <v>EVT-2026-022</v>
      </c>
      <c r="B23" t="str">
        <v>2026-06-29</v>
      </c>
      <c r="C23" t="str">
        <v>Public Complaint</v>
      </c>
      <c r="D23" t="str">
        <v>Arrivals</v>
      </c>
      <c r="E23" t="str">
        <v>Unsafe Behaviour</v>
      </c>
      <c r="F23" t="str">
        <v>No</v>
      </c>
      <c r="G23" t="str">
        <v>Excluded</v>
      </c>
      <c r="H23">
        <v>0</v>
      </c>
    </row>
    <row r="24">
      <c r="A24" t="str">
        <v>EVT-2026-023</v>
      </c>
      <c r="B24" t="str">
        <v>2026-07-04</v>
      </c>
      <c r="C24" t="str">
        <v>Public Complaint</v>
      </c>
      <c r="D24" t="str">
        <v>Terminal A</v>
      </c>
      <c r="E24" t="str">
        <v>Lack of Professionalism</v>
      </c>
      <c r="F24" t="str">
        <v>Yes</v>
      </c>
      <c r="G24" t="str">
        <v>Excluded</v>
      </c>
      <c r="H24">
        <v>0</v>
      </c>
    </row>
    <row r="25">
      <c r="A25" t="str">
        <v>EVT-2026-024</v>
      </c>
      <c r="B25" t="str">
        <v>2026-07-15</v>
      </c>
      <c r="C25" t="str">
        <v>Operational Report</v>
      </c>
      <c r="D25" t="str">
        <v>Parking Area</v>
      </c>
      <c r="E25" t="str">
        <v>Lack of Professionalism</v>
      </c>
      <c r="F25" t="str">
        <v>Yes</v>
      </c>
      <c r="G25" t="str">
        <v>Included</v>
      </c>
      <c r="H25">
        <v>2</v>
      </c>
    </row>
    <row r="26">
      <c r="A26" t="str">
        <v>EVT-2026-025</v>
      </c>
      <c r="B26" t="str">
        <v>2026-07-20</v>
      </c>
      <c r="C26" t="str">
        <v>HIAA Annual Report</v>
      </c>
      <c r="D26" t="str">
        <v>Parking Area</v>
      </c>
      <c r="E26" t="str">
        <v>Destructive Behaviour</v>
      </c>
      <c r="F26" t="str">
        <v>No</v>
      </c>
      <c r="G26" t="str">
        <v>Excluded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KPI-01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COUNTA('Data'!A2:A26)</f>
      </c>
    </row>
    <row r="4">
      <c r="A4" t="str">
        <v>Total Damage Points</v>
      </c>
      <c r="B4" t="e">
        <f>SUM('Data'!H2:H26)</f>
      </c>
    </row>
    <row r="5">
      <c r="A5" t="str">
        <v>Avg Damage / Record</v>
      </c>
      <c r="B5" t="e">
        <f>IFERROR(AVERAGE('Data'!H2:H26),0)</f>
      </c>
    </row>
    <row r="6">
      <c r="A6" t="str">
        <v>Records With Damage</v>
      </c>
      <c r="B6" t="e">
        <f>COUNTIF('Data'!H2:H26,"&gt;0")</f>
      </c>
    </row>
    <row r="7">
      <c r="A7" t="str">
        <v>Counted (Substantiated &amp; Included)</v>
      </c>
      <c r="B7" t="e">
        <f>COUNTIFS('Data'!F2:F26,"Yes",'Data'!G2:G26,"Included")</f>
      </c>
    </row>
    <row r="8">
      <c r="A8" t="str">
        <v>Result (0 = PASS)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