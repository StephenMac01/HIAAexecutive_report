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PI Definition" sheetId="1" r:id="rId1"/>
    <sheet name="Incident Log" sheetId="2" r:id="rId2"/>
    <sheet name="Monthly Summary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KPI</v>
      </c>
      <c r="B1" t="str">
        <v>KPI-12</v>
      </c>
    </row>
    <row r="2">
      <c r="A2" t="str">
        <v>Metric</v>
      </c>
      <c r="B2" t="str">
        <v>OLA — Official Languages Act</v>
      </c>
    </row>
    <row r="3">
      <c r="A3" t="str">
        <v>Definition &amp; Intent</v>
      </c>
      <c r="B3" t="str">
        <v>The Contractor, or one of its employees, is responsible for bringing HIAA into non-compliance with the Official Languages Act.</v>
      </c>
    </row>
    <row r="4">
      <c r="A4" t="str">
        <v>Calculation</v>
      </c>
      <c r="B4" t="str">
        <v>Each incident will count as one (1) event.</v>
      </c>
    </row>
    <row r="5">
      <c r="A5" t="str">
        <v>Threshold — Fail</v>
      </c>
      <c r="B5">
        <v>1</v>
      </c>
    </row>
    <row r="6">
      <c r="A6" t="str">
        <v>Threshold — Target</v>
      </c>
      <c r="B6">
        <v>0</v>
      </c>
    </row>
    <row r="7">
      <c r="A7" t="str">
        <v>Threshold — Success</v>
      </c>
      <c r="B7" t="str">
        <v>n/a</v>
      </c>
    </row>
    <row r="8">
      <c r="A8" t="str">
        <v>Damage points</v>
      </c>
      <c r="B8" t="str">
        <v>10 per event</v>
      </c>
    </row>
    <row r="9">
      <c r="A9" t="str">
        <v>Advantage points</v>
      </c>
      <c r="B9" t="str">
        <v>n/a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Data>
    <row r="1">
      <c r="A1" t="str">
        <v>Incident ID</v>
      </c>
      <c r="B1" t="str">
        <v>Date</v>
      </c>
      <c r="C1" t="str">
        <v>Period</v>
      </c>
      <c r="D1" t="str">
        <v>Month</v>
      </c>
      <c r="E1" t="str">
        <v>Category</v>
      </c>
      <c r="F1" t="str">
        <v>Channel</v>
      </c>
      <c r="G1" t="str">
        <v>Location</v>
      </c>
      <c r="H1" t="str">
        <v>Responsible Party</v>
      </c>
      <c r="I1" t="str">
        <v>Description</v>
      </c>
      <c r="J1" t="str">
        <v>Status</v>
      </c>
      <c r="K1" t="str">
        <v>Damage Points</v>
      </c>
    </row>
    <row r="2">
      <c r="A2" t="str">
        <v>OLA-0001</v>
      </c>
      <c r="B2" t="str">
        <v>2025-01-14</v>
      </c>
      <c r="C2" t="str">
        <v>2025-Q1</v>
      </c>
      <c r="D2" t="str">
        <v>Jan</v>
      </c>
      <c r="E2" t="str">
        <v>Signage</v>
      </c>
      <c r="F2" t="str">
        <v>In-person</v>
      </c>
      <c r="G2" t="str">
        <v>Main Terminal — Departures</v>
      </c>
      <c r="H2" t="str">
        <v>Contractor Staff #218</v>
      </c>
      <c r="I2" t="str">
        <v>Wayfinding signage installed in English only at the departures security checkpoint.</v>
      </c>
      <c r="J2" t="str">
        <v>Resolved</v>
      </c>
      <c r="K2">
        <v>10</v>
      </c>
    </row>
    <row r="3">
      <c r="A3" t="str">
        <v>OLA-0002</v>
      </c>
      <c r="B3" t="str">
        <v>2025-02-03</v>
      </c>
      <c r="C3" t="str">
        <v>2025-Q1</v>
      </c>
      <c r="D3" t="str">
        <v>Feb</v>
      </c>
      <c r="E3" t="str">
        <v>Verbal Service</v>
      </c>
      <c r="F3" t="str">
        <v>In-person</v>
      </c>
      <c r="G3" t="str">
        <v>Information Desk</v>
      </c>
      <c r="H3" t="str">
        <v>Contractor Staff #044</v>
      </c>
      <c r="I3" t="str">
        <v>Passenger unable to receive active offer of service in French at the information desk.</v>
      </c>
      <c r="J3" t="str">
        <v>Resolved</v>
      </c>
      <c r="K3">
        <v>10</v>
      </c>
    </row>
    <row r="4">
      <c r="A4" t="str">
        <v>OLA-0003</v>
      </c>
      <c r="B4" t="str">
        <v>2025-02-27</v>
      </c>
      <c r="C4" t="str">
        <v>2025-Q1</v>
      </c>
      <c r="D4" t="str">
        <v>Feb</v>
      </c>
      <c r="E4" t="str">
        <v>Public Announcement</v>
      </c>
      <c r="F4" t="str">
        <v>PA System</v>
      </c>
      <c r="G4" t="str">
        <v>Gate 12</v>
      </c>
      <c r="H4" t="str">
        <v>Contractor Staff #109</v>
      </c>
      <c r="I4" t="str">
        <v>Boarding announcement broadcast in English only, omitting the French portion.</v>
      </c>
      <c r="J4" t="str">
        <v>Resolved</v>
      </c>
      <c r="K4">
        <v>10</v>
      </c>
    </row>
    <row r="5">
      <c r="A5" t="str">
        <v>OLA-0004</v>
      </c>
      <c r="B5" t="str">
        <v>2025-03-19</v>
      </c>
      <c r="C5" t="str">
        <v>2025-Q1</v>
      </c>
      <c r="D5" t="str">
        <v>Mar</v>
      </c>
      <c r="E5" t="str">
        <v>Written Correspondence</v>
      </c>
      <c r="F5" t="str">
        <v>Email</v>
      </c>
      <c r="G5" t="str">
        <v>Administration Office</v>
      </c>
      <c r="H5" t="str">
        <v>Contractor Staff #331</v>
      </c>
      <c r="I5" t="str">
        <v>Official notice to a tenant issued without the required French translation.</v>
      </c>
      <c r="J5" t="str">
        <v>Resolved</v>
      </c>
      <c r="K5">
        <v>10</v>
      </c>
    </row>
    <row r="6">
      <c r="A6" t="str">
        <v>OLA-0005</v>
      </c>
      <c r="B6" t="str">
        <v>2025-04-08</v>
      </c>
      <c r="C6" t="str">
        <v>2025-Q2</v>
      </c>
      <c r="D6" t="str">
        <v>Apr</v>
      </c>
      <c r="E6" t="str">
        <v>Digital / Website</v>
      </c>
      <c r="F6" t="str">
        <v>Website</v>
      </c>
      <c r="G6" t="str">
        <v>Public Website</v>
      </c>
      <c r="H6" t="str">
        <v>Contractor Staff #512</v>
      </c>
      <c r="I6" t="str">
        <v>Updated parking information page published in English before the French version.</v>
      </c>
      <c r="J6" t="str">
        <v>Resolved</v>
      </c>
      <c r="K6">
        <v>10</v>
      </c>
    </row>
    <row r="7">
      <c r="A7" t="str">
        <v>OLA-0006</v>
      </c>
      <c r="B7" t="str">
        <v>2025-05-22</v>
      </c>
      <c r="C7" t="str">
        <v>2025-Q2</v>
      </c>
      <c r="D7" t="str">
        <v>May</v>
      </c>
      <c r="E7" t="str">
        <v>Verbal Service</v>
      </c>
      <c r="F7" t="str">
        <v>Telephone</v>
      </c>
      <c r="G7" t="str">
        <v>Customer Service Line</v>
      </c>
      <c r="H7" t="str">
        <v>Contractor Staff #076</v>
      </c>
      <c r="I7" t="str">
        <v>Caller placed on hold and transferred without bilingual greeting or active offer.</v>
      </c>
      <c r="J7" t="str">
        <v>In Review</v>
      </c>
      <c r="K7">
        <v>10</v>
      </c>
    </row>
    <row r="8">
      <c r="A8" t="str">
        <v>OLA-0007</v>
      </c>
      <c r="B8" t="str">
        <v>2025-06-30</v>
      </c>
      <c r="C8" t="str">
        <v>2025-Q2</v>
      </c>
      <c r="D8" t="str">
        <v>Jun</v>
      </c>
      <c r="E8" t="str">
        <v>Signage</v>
      </c>
      <c r="F8" t="str">
        <v>In-person</v>
      </c>
      <c r="G8" t="str">
        <v>Baggage Claim</v>
      </c>
      <c r="H8" t="str">
        <v>Contractor Staff #218</v>
      </c>
      <c r="I8" t="str">
        <v>Temporary maintenance notice posted in English only near carousel 3.</v>
      </c>
      <c r="J8" t="str">
        <v>Resolved</v>
      </c>
      <c r="K8">
        <v>10</v>
      </c>
    </row>
    <row r="9">
      <c r="A9" t="str">
        <v>OLA-0008</v>
      </c>
      <c r="B9" t="str">
        <v>2025-08-11</v>
      </c>
      <c r="C9" t="str">
        <v>2025-Q3</v>
      </c>
      <c r="D9" t="str">
        <v>Aug</v>
      </c>
      <c r="E9" t="str">
        <v>Public Announcement</v>
      </c>
      <c r="F9" t="str">
        <v>PA System</v>
      </c>
      <c r="G9" t="str">
        <v>Main Terminal — Arrivals</v>
      </c>
      <c r="H9" t="str">
        <v>Contractor Staff #109</v>
      </c>
      <c r="I9" t="str">
        <v>Security reminder announcement delivered in English only during peak hours.</v>
      </c>
      <c r="J9" t="str">
        <v>Resolved</v>
      </c>
      <c r="K9">
        <v>10</v>
      </c>
    </row>
    <row r="10">
      <c r="A10" t="str">
        <v>OLA-0009</v>
      </c>
      <c r="B10" t="str">
        <v>2025-09-05</v>
      </c>
      <c r="C10" t="str">
        <v>2025-Q3</v>
      </c>
      <c r="D10" t="str">
        <v>Sep</v>
      </c>
      <c r="E10" t="str">
        <v>Emergency Notice</v>
      </c>
      <c r="F10" t="str">
        <v>Digital Display</v>
      </c>
      <c r="G10" t="str">
        <v>Concourse B</v>
      </c>
      <c r="H10" t="str">
        <v>Contractor Staff #290</v>
      </c>
      <c r="I10" t="str">
        <v>Emergency evacuation guidance shown on digital displays without French text.</v>
      </c>
      <c r="J10" t="str">
        <v>In Review</v>
      </c>
      <c r="K10">
        <v>10</v>
      </c>
    </row>
    <row r="11">
      <c r="A11" t="str">
        <v>OLA-0010</v>
      </c>
      <c r="B11" t="str">
        <v>2025-10-17</v>
      </c>
      <c r="C11" t="str">
        <v>2025-Q4</v>
      </c>
      <c r="D11" t="str">
        <v>Oct</v>
      </c>
      <c r="E11" t="str">
        <v>Written Correspondence</v>
      </c>
      <c r="F11" t="str">
        <v>Printed</v>
      </c>
      <c r="G11" t="str">
        <v>Check-in Area</v>
      </c>
      <c r="H11" t="str">
        <v>Contractor Staff #331</v>
      </c>
      <c r="I11" t="str">
        <v>Printed passenger advisory distributed in English only at check-in kiosks.</v>
      </c>
      <c r="J11" t="str">
        <v>Open</v>
      </c>
      <c r="K11">
        <v>10</v>
      </c>
    </row>
    <row r="12">
      <c r="A12" t="str">
        <v>OLA-0011</v>
      </c>
      <c r="B12" t="str">
        <v>2025-11-28</v>
      </c>
      <c r="C12" t="str">
        <v>2025-Q4</v>
      </c>
      <c r="D12" t="str">
        <v>Nov</v>
      </c>
      <c r="E12" t="str">
        <v>Verbal Service</v>
      </c>
      <c r="F12" t="str">
        <v>In-person</v>
      </c>
      <c r="G12" t="str">
        <v>Security Screening</v>
      </c>
      <c r="H12" t="str">
        <v>Contractor Staff #044</v>
      </c>
      <c r="I12" t="str">
        <v>Active offer of service not provided to a passenger requesting service in French.</v>
      </c>
      <c r="J12" t="str">
        <v>Open</v>
      </c>
      <c r="K12">
        <v>10</v>
      </c>
    </row>
    <row r="13">
      <c r="A13" t="str">
        <v>OLA-12</v>
      </c>
      <c r="B13" t="str">
        <v>2025-01-14</v>
      </c>
      <c r="C13" t="str">
        <v>2025-Q1</v>
      </c>
      <c r="D13" t="str">
        <v>Jan</v>
      </c>
      <c r="E13" t="str">
        <v>Signage</v>
      </c>
      <c r="F13" t="str">
        <v>In-person</v>
      </c>
      <c r="G13" t="str">
        <v>Main Terminal — Departures</v>
      </c>
      <c r="H13" t="str">
        <v>Contractor Staff #218</v>
      </c>
      <c r="I13" t="str">
        <v>Wayfinding signage installed in English only at the departures security checkpoint.</v>
      </c>
      <c r="J13" t="str">
        <v>Resolved</v>
      </c>
      <c r="K13">
        <v>10</v>
      </c>
    </row>
    <row r="14">
      <c r="A14" t="str">
        <v>OLA-13</v>
      </c>
      <c r="B14" t="str">
        <v>2025-02-03</v>
      </c>
      <c r="C14" t="str">
        <v>2025-Q1</v>
      </c>
      <c r="D14" t="str">
        <v>Feb</v>
      </c>
      <c r="E14" t="str">
        <v>Verbal Service</v>
      </c>
      <c r="F14" t="str">
        <v>In-person</v>
      </c>
      <c r="G14" t="str">
        <v>Information Desk</v>
      </c>
      <c r="H14" t="str">
        <v>Contractor Staff #044</v>
      </c>
      <c r="I14" t="str">
        <v>Passenger unable to receive active offer of service in French at the information desk.</v>
      </c>
      <c r="J14" t="str">
        <v>Resolved</v>
      </c>
      <c r="K14">
        <v>10</v>
      </c>
    </row>
    <row r="15">
      <c r="A15" t="str">
        <v>OLA-14</v>
      </c>
      <c r="B15" t="str">
        <v>2025-02-27</v>
      </c>
      <c r="C15" t="str">
        <v>2025-Q1</v>
      </c>
      <c r="D15" t="str">
        <v>Feb</v>
      </c>
      <c r="E15" t="str">
        <v>Public Announcement</v>
      </c>
      <c r="F15" t="str">
        <v>PA System</v>
      </c>
      <c r="G15" t="str">
        <v>Gate 12</v>
      </c>
      <c r="H15" t="str">
        <v>Contractor Staff #109</v>
      </c>
      <c r="I15" t="str">
        <v>Boarding announcement broadcast in English only, omitting the French portion.</v>
      </c>
      <c r="J15" t="str">
        <v>Resolved</v>
      </c>
      <c r="K15">
        <v>10</v>
      </c>
    </row>
    <row r="16">
      <c r="A16" t="str">
        <v>OLA-15</v>
      </c>
      <c r="B16" t="str">
        <v>2025-03-19</v>
      </c>
      <c r="C16" t="str">
        <v>2025-Q1</v>
      </c>
      <c r="D16" t="str">
        <v>Mar</v>
      </c>
      <c r="E16" t="str">
        <v>Written Correspondence</v>
      </c>
      <c r="F16" t="str">
        <v>Email</v>
      </c>
      <c r="G16" t="str">
        <v>Administration Office</v>
      </c>
      <c r="H16" t="str">
        <v>Contractor Staff #331</v>
      </c>
      <c r="I16" t="str">
        <v>Official notice to a tenant issued without the required French translation.</v>
      </c>
      <c r="J16" t="str">
        <v>Resolved</v>
      </c>
      <c r="K16">
        <v>10</v>
      </c>
    </row>
    <row r="17">
      <c r="A17" t="str">
        <v>OLA-16</v>
      </c>
      <c r="B17" t="str">
        <v>2025-04-08</v>
      </c>
      <c r="C17" t="str">
        <v>2025-Q2</v>
      </c>
      <c r="D17" t="str">
        <v>Apr</v>
      </c>
      <c r="E17" t="str">
        <v>Digital / Website</v>
      </c>
      <c r="F17" t="str">
        <v>Website</v>
      </c>
      <c r="G17" t="str">
        <v>Public Website</v>
      </c>
      <c r="H17" t="str">
        <v>Contractor Staff #512</v>
      </c>
      <c r="I17" t="str">
        <v>Updated parking information page published in English before the French version.</v>
      </c>
      <c r="J17" t="str">
        <v>Resolved</v>
      </c>
      <c r="K17">
        <v>10</v>
      </c>
    </row>
    <row r="18">
      <c r="A18" t="str">
        <v>OLA-17</v>
      </c>
      <c r="B18" t="str">
        <v>2025-05-22</v>
      </c>
      <c r="C18" t="str">
        <v>2025-Q2</v>
      </c>
      <c r="D18" t="str">
        <v>May</v>
      </c>
      <c r="E18" t="str">
        <v>Verbal Service</v>
      </c>
      <c r="F18" t="str">
        <v>Telephone</v>
      </c>
      <c r="G18" t="str">
        <v>Customer Service Line</v>
      </c>
      <c r="H18" t="str">
        <v>Contractor Staff #076</v>
      </c>
      <c r="I18" t="str">
        <v>Caller placed on hold and transferred without bilingual greeting or active offer.</v>
      </c>
      <c r="J18" t="str">
        <v>In Review</v>
      </c>
      <c r="K18">
        <v>10</v>
      </c>
    </row>
    <row r="19">
      <c r="A19" t="str">
        <v>OLA-18</v>
      </c>
      <c r="B19" t="str">
        <v>2025-06-30</v>
      </c>
      <c r="C19" t="str">
        <v>2025-Q2</v>
      </c>
      <c r="D19" t="str">
        <v>Jun</v>
      </c>
      <c r="E19" t="str">
        <v>Signage</v>
      </c>
      <c r="F19" t="str">
        <v>In-person</v>
      </c>
      <c r="G19" t="str">
        <v>Baggage Claim</v>
      </c>
      <c r="H19" t="str">
        <v>Contractor Staff #218</v>
      </c>
      <c r="I19" t="str">
        <v>Temporary maintenance notice posted in English only near carousel 3.</v>
      </c>
      <c r="J19" t="str">
        <v>Resolved</v>
      </c>
      <c r="K19">
        <v>10</v>
      </c>
    </row>
    <row r="20">
      <c r="A20" t="str">
        <v>OLA-19</v>
      </c>
      <c r="B20" t="str">
        <v>2025-08-11</v>
      </c>
      <c r="C20" t="str">
        <v>2025-Q3</v>
      </c>
      <c r="D20" t="str">
        <v>Aug</v>
      </c>
      <c r="E20" t="str">
        <v>Public Announcement</v>
      </c>
      <c r="F20" t="str">
        <v>PA System</v>
      </c>
      <c r="G20" t="str">
        <v>Main Terminal — Arrivals</v>
      </c>
      <c r="H20" t="str">
        <v>Contractor Staff #109</v>
      </c>
      <c r="I20" t="str">
        <v>Security reminder announcement delivered in English only during peak hours.</v>
      </c>
      <c r="J20" t="str">
        <v>Resolved</v>
      </c>
      <c r="K20">
        <v>10</v>
      </c>
    </row>
    <row r="21">
      <c r="A21" t="str">
        <v>OLA-20</v>
      </c>
      <c r="B21" t="str">
        <v>2025-09-05</v>
      </c>
      <c r="C21" t="str">
        <v>2025-Q3</v>
      </c>
      <c r="D21" t="str">
        <v>Sep</v>
      </c>
      <c r="E21" t="str">
        <v>Emergency Notice</v>
      </c>
      <c r="F21" t="str">
        <v>Digital Display</v>
      </c>
      <c r="G21" t="str">
        <v>Concourse B</v>
      </c>
      <c r="H21" t="str">
        <v>Contractor Staff #290</v>
      </c>
      <c r="I21" t="str">
        <v>Emergency evacuation guidance shown on digital displays without French text.</v>
      </c>
      <c r="J21" t="str">
        <v>In Review</v>
      </c>
      <c r="K21">
        <v>10</v>
      </c>
    </row>
    <row r="22">
      <c r="A22" t="str">
        <v>OLA-21</v>
      </c>
      <c r="B22" t="str">
        <v>2025-10-17</v>
      </c>
      <c r="C22" t="str">
        <v>2025-Q4</v>
      </c>
      <c r="D22" t="str">
        <v>Oct</v>
      </c>
      <c r="E22" t="str">
        <v>Written Correspondence</v>
      </c>
      <c r="F22" t="str">
        <v>Printed</v>
      </c>
      <c r="G22" t="str">
        <v>Check-in Area</v>
      </c>
      <c r="H22" t="str">
        <v>Contractor Staff #331</v>
      </c>
      <c r="I22" t="str">
        <v>Printed passenger advisory distributed in English only at check-in kiosks.</v>
      </c>
      <c r="J22" t="str">
        <v>Open</v>
      </c>
      <c r="K22">
        <v>10</v>
      </c>
    </row>
    <row r="23">
      <c r="A23" t="str">
        <v>OLA-22</v>
      </c>
      <c r="B23" t="str">
        <v>2025-11-28</v>
      </c>
      <c r="C23" t="str">
        <v>2025-Q4</v>
      </c>
      <c r="D23" t="str">
        <v>Nov</v>
      </c>
      <c r="E23" t="str">
        <v>Verbal Service</v>
      </c>
      <c r="F23" t="str">
        <v>In-person</v>
      </c>
      <c r="G23" t="str">
        <v>Security Screening</v>
      </c>
      <c r="H23" t="str">
        <v>Contractor Staff #044</v>
      </c>
      <c r="I23" t="str">
        <v>Active offer of service not provided to a passenger requesting service in French.</v>
      </c>
      <c r="J23" t="str">
        <v>Open</v>
      </c>
      <c r="K23">
        <v>10</v>
      </c>
    </row>
    <row r="24">
      <c r="A24" t="str">
        <v>OLA-23</v>
      </c>
      <c r="B24" t="str">
        <v>2025-01-14</v>
      </c>
      <c r="C24" t="str">
        <v>2025-Q1</v>
      </c>
      <c r="D24" t="str">
        <v>Jan</v>
      </c>
      <c r="E24" t="str">
        <v>Signage</v>
      </c>
      <c r="F24" t="str">
        <v>In-person</v>
      </c>
      <c r="G24" t="str">
        <v>Main Terminal — Departures</v>
      </c>
      <c r="H24" t="str">
        <v>Contractor Staff #218</v>
      </c>
      <c r="I24" t="str">
        <v>Wayfinding signage installed in English only at the departures security checkpoint.</v>
      </c>
      <c r="J24" t="str">
        <v>Resolved</v>
      </c>
      <c r="K24">
        <v>10</v>
      </c>
    </row>
    <row r="25">
      <c r="A25" t="str">
        <v>OLA-24</v>
      </c>
      <c r="B25" t="str">
        <v>2025-02-03</v>
      </c>
      <c r="C25" t="str">
        <v>2025-Q1</v>
      </c>
      <c r="D25" t="str">
        <v>Feb</v>
      </c>
      <c r="E25" t="str">
        <v>Verbal Service</v>
      </c>
      <c r="F25" t="str">
        <v>In-person</v>
      </c>
      <c r="G25" t="str">
        <v>Information Desk</v>
      </c>
      <c r="H25" t="str">
        <v>Contractor Staff #044</v>
      </c>
      <c r="I25" t="str">
        <v>Passenger unable to receive active offer of service in French at the information desk.</v>
      </c>
      <c r="J25" t="str">
        <v>Resolved</v>
      </c>
      <c r="K25">
        <v>10</v>
      </c>
    </row>
    <row r="26">
      <c r="A26" t="str">
        <v>OLA-25</v>
      </c>
      <c r="B26" t="str">
        <v>2025-02-27</v>
      </c>
      <c r="C26" t="str">
        <v>2025-Q1</v>
      </c>
      <c r="D26" t="str">
        <v>Feb</v>
      </c>
      <c r="E26" t="str">
        <v>Public Announcement</v>
      </c>
      <c r="F26" t="str">
        <v>PA System</v>
      </c>
      <c r="G26" t="str">
        <v>Gate 12</v>
      </c>
      <c r="H26" t="str">
        <v>Contractor Staff #109</v>
      </c>
      <c r="I26" t="str">
        <v>Boarding announcement broadcast in English only, omitting the French portion.</v>
      </c>
      <c r="J26" t="str">
        <v>Resolved</v>
      </c>
      <c r="K26">
        <v>10</v>
      </c>
    </row>
  </sheetData>
  <ignoredErrors>
    <ignoredError numberStoredAsText="1" sqref="A1:K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Month</v>
      </c>
      <c r="B1" t="str">
        <v>Events</v>
      </c>
      <c r="C1" t="str">
        <v>Damage Points</v>
      </c>
      <c r="D1" t="str">
        <v>Target</v>
      </c>
      <c r="E1" t="str">
        <v>Status</v>
      </c>
    </row>
    <row r="2">
      <c r="A2" t="str">
        <v>Jan</v>
      </c>
      <c r="B2">
        <v>1</v>
      </c>
      <c r="C2">
        <v>10</v>
      </c>
      <c r="D2">
        <v>0</v>
      </c>
      <c r="E2" t="str">
        <v>Fail</v>
      </c>
    </row>
    <row r="3">
      <c r="A3" t="str">
        <v>Feb</v>
      </c>
      <c r="B3">
        <v>2</v>
      </c>
      <c r="C3">
        <v>20</v>
      </c>
      <c r="D3">
        <v>0</v>
      </c>
      <c r="E3" t="str">
        <v>Fail</v>
      </c>
    </row>
    <row r="4">
      <c r="A4" t="str">
        <v>Mar</v>
      </c>
      <c r="B4">
        <v>1</v>
      </c>
      <c r="C4">
        <v>10</v>
      </c>
      <c r="D4">
        <v>0</v>
      </c>
      <c r="E4" t="str">
        <v>Fail</v>
      </c>
    </row>
    <row r="5">
      <c r="A5" t="str">
        <v>Apr</v>
      </c>
      <c r="B5">
        <v>1</v>
      </c>
      <c r="C5">
        <v>10</v>
      </c>
      <c r="D5">
        <v>0</v>
      </c>
      <c r="E5" t="str">
        <v>Fail</v>
      </c>
    </row>
    <row r="6">
      <c r="A6" t="str">
        <v>May</v>
      </c>
      <c r="B6">
        <v>1</v>
      </c>
      <c r="C6">
        <v>10</v>
      </c>
      <c r="D6">
        <v>0</v>
      </c>
      <c r="E6" t="str">
        <v>Fail</v>
      </c>
    </row>
    <row r="7">
      <c r="A7" t="str">
        <v>Jun</v>
      </c>
      <c r="B7">
        <v>1</v>
      </c>
      <c r="C7">
        <v>10</v>
      </c>
      <c r="D7">
        <v>0</v>
      </c>
      <c r="E7" t="str">
        <v>Fail</v>
      </c>
    </row>
    <row r="8">
      <c r="A8" t="str">
        <v>Jul</v>
      </c>
      <c r="B8">
        <v>0</v>
      </c>
      <c r="C8">
        <v>0</v>
      </c>
      <c r="D8">
        <v>0</v>
      </c>
      <c r="E8" t="str">
        <v>Target Met</v>
      </c>
    </row>
    <row r="9">
      <c r="A9" t="str">
        <v>Aug</v>
      </c>
      <c r="B9">
        <v>1</v>
      </c>
      <c r="C9">
        <v>10</v>
      </c>
      <c r="D9">
        <v>0</v>
      </c>
      <c r="E9" t="str">
        <v>Fail</v>
      </c>
    </row>
    <row r="10">
      <c r="A10" t="str">
        <v>Sep</v>
      </c>
      <c r="B10">
        <v>1</v>
      </c>
      <c r="C10">
        <v>10</v>
      </c>
      <c r="D10">
        <v>0</v>
      </c>
      <c r="E10" t="str">
        <v>Fail</v>
      </c>
    </row>
    <row r="11">
      <c r="A11" t="str">
        <v>Oct</v>
      </c>
      <c r="B11">
        <v>1</v>
      </c>
      <c r="C11">
        <v>10</v>
      </c>
      <c r="D11">
        <v>0</v>
      </c>
      <c r="E11" t="str">
        <v>Fail</v>
      </c>
    </row>
    <row r="12">
      <c r="A12" t="str">
        <v>Nov</v>
      </c>
      <c r="B12">
        <v>1</v>
      </c>
      <c r="C12">
        <v>10</v>
      </c>
      <c r="D12">
        <v>0</v>
      </c>
      <c r="E12" t="str">
        <v>Fail</v>
      </c>
    </row>
    <row r="13">
      <c r="A13" t="str">
        <v>Dec</v>
      </c>
      <c r="B13">
        <v>0</v>
      </c>
      <c r="C13">
        <v>0</v>
      </c>
      <c r="D13">
        <v>0</v>
      </c>
      <c r="E13" t="str">
        <v>Target Met</v>
      </c>
    </row>
    <row r="14">
      <c r="A14" t="str">
        <v>TOTAL</v>
      </c>
      <c r="B14">
        <v>11</v>
      </c>
      <c r="C14">
        <v>110</v>
      </c>
      <c r="D14">
        <v>0</v>
      </c>
      <c r="E14" t="str">
        <v>Fail</v>
      </c>
    </row>
  </sheetData>
  <ignoredErrors>
    <ignoredError numberStoredAsText="1" sqref="A1:E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4.83203125" customWidth="1"/>
    <col min="2" max="2" width="20.83203125" customWidth="1"/>
  </cols>
  <sheetData>
    <row r="1">
      <c r="A1" t="str">
        <v>KPI-12 — Summary</v>
      </c>
    </row>
    <row r="2">
      <c r="A2" t="str">
        <v>Metric</v>
      </c>
      <c r="B2" t="str">
        <v>Value</v>
      </c>
    </row>
    <row r="3">
      <c r="A3" t="str">
        <v>Total Records</v>
      </c>
      <c r="B3" t="e">
        <f>COUNTA('Incident Log'!A2:A26)</f>
      </c>
    </row>
    <row r="4">
      <c r="A4" t="str">
        <v>Total Damage Points</v>
      </c>
      <c r="B4" t="e">
        <f>SUM('Incident Log'!K2:K26)</f>
      </c>
    </row>
    <row r="5">
      <c r="A5" t="str">
        <v>Avg Damage / Record</v>
      </c>
      <c r="B5" t="e">
        <f>IFERROR(AVERAGE('Incident Log'!K2:K26),0)</f>
      </c>
    </row>
    <row r="6">
      <c r="A6" t="str">
        <v>Records With Damage</v>
      </c>
      <c r="B6" t="e">
        <f>COUNTIF('Incident Log'!K2:K26,"&gt;0")</f>
      </c>
    </row>
    <row r="7">
      <c r="A7" t="str">
        <v>Fail / Breach Count</v>
      </c>
      <c r="B7" t="e">
        <f>COUNTIF('Incident Log'!J2:J26,"*ail*")+COUNTIF('Incident Log'!J2:J26,"*reach*")</f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 Definition</vt:lpstr>
      <vt:lpstr>Incident Log</vt:lpstr>
      <vt:lpstr>Monthly Summary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