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Audit ID</v>
      </c>
      <c r="B1" t="str">
        <v>Date</v>
      </c>
      <c r="C1" t="str">
        <v>Period</v>
      </c>
      <c r="D1" t="str">
        <v>Directive</v>
      </c>
      <c r="E1" t="str">
        <v>Post</v>
      </c>
      <c r="F1" t="str">
        <v>Result</v>
      </c>
      <c r="G1" t="str">
        <v>Damage Points</v>
      </c>
    </row>
    <row r="2">
      <c r="A2" t="str">
        <v>AUD-0001</v>
      </c>
      <c r="B2" t="str">
        <v>2025-01-24</v>
      </c>
      <c r="C2" t="str">
        <v>Jan</v>
      </c>
      <c r="D2" t="str">
        <v>Access Control Directive</v>
      </c>
      <c r="E2" t="str">
        <v>Perimeter</v>
      </c>
      <c r="F2" t="str">
        <v>Compliant</v>
      </c>
      <c r="G2">
        <v>0</v>
      </c>
    </row>
    <row r="3">
      <c r="A3" t="str">
        <v>AUD-0002</v>
      </c>
      <c r="B3" t="str">
        <v>2025-02-09</v>
      </c>
      <c r="C3" t="str">
        <v>Feb</v>
      </c>
      <c r="D3" t="str">
        <v>Perimeter Directive</v>
      </c>
      <c r="E3" t="str">
        <v>Perimeter</v>
      </c>
      <c r="F3" t="str">
        <v>Compliant</v>
      </c>
      <c r="G3">
        <v>0</v>
      </c>
    </row>
    <row r="4">
      <c r="A4" t="str">
        <v>AUD-0003</v>
      </c>
      <c r="B4" t="str">
        <v>2025-02-21</v>
      </c>
      <c r="C4" t="str">
        <v>Mar</v>
      </c>
      <c r="D4" t="str">
        <v>Patrol Directive</v>
      </c>
      <c r="E4" t="str">
        <v>Cargo</v>
      </c>
      <c r="F4" t="str">
        <v>Compliant</v>
      </c>
      <c r="G4">
        <v>0</v>
      </c>
    </row>
    <row r="5">
      <c r="A5" t="str">
        <v>AUD-0004</v>
      </c>
      <c r="B5" t="str">
        <v>2025-03-07</v>
      </c>
      <c r="C5" t="str">
        <v>Apr</v>
      </c>
      <c r="D5" t="str">
        <v>Access Control Directive</v>
      </c>
      <c r="E5" t="str">
        <v>Cargo</v>
      </c>
      <c r="F5" t="str">
        <v>Compliant</v>
      </c>
      <c r="G5">
        <v>0</v>
      </c>
    </row>
    <row r="6">
      <c r="A6" t="str">
        <v>AUD-0005</v>
      </c>
      <c r="B6" t="str">
        <v>2025-03-22</v>
      </c>
      <c r="C6" t="str">
        <v>May</v>
      </c>
      <c r="D6" t="str">
        <v>Incident Reporting Directive</v>
      </c>
      <c r="E6" t="str">
        <v>Checkpoint</v>
      </c>
      <c r="F6" t="str">
        <v>Compliant</v>
      </c>
      <c r="G6">
        <v>0</v>
      </c>
    </row>
    <row r="7">
      <c r="A7" t="str">
        <v>AUD-0006</v>
      </c>
      <c r="B7" t="str">
        <v>2025-04-06</v>
      </c>
      <c r="C7" t="str">
        <v>Jun</v>
      </c>
      <c r="D7" t="str">
        <v>Badging Directive</v>
      </c>
      <c r="E7" t="str">
        <v>Terminal</v>
      </c>
      <c r="F7" t="str">
        <v>Non-Compliant</v>
      </c>
      <c r="G7">
        <v>5</v>
      </c>
    </row>
    <row r="8">
      <c r="A8" t="str">
        <v>AUD-0007</v>
      </c>
      <c r="B8" t="str">
        <v>2025-04-20</v>
      </c>
      <c r="C8" t="str">
        <v>Jul</v>
      </c>
      <c r="D8" t="str">
        <v>Patrol Directive</v>
      </c>
      <c r="E8" t="str">
        <v>Perimeter</v>
      </c>
      <c r="F8" t="str">
        <v>Non-Compliant</v>
      </c>
      <c r="G8">
        <v>5</v>
      </c>
    </row>
    <row r="9">
      <c r="A9" t="str">
        <v>AUD-0008</v>
      </c>
      <c r="B9" t="str">
        <v>2025-05-05</v>
      </c>
      <c r="C9" t="str">
        <v>Aug</v>
      </c>
      <c r="D9" t="str">
        <v>Screening Directive</v>
      </c>
      <c r="E9" t="str">
        <v>Cargo</v>
      </c>
      <c r="F9" t="str">
        <v>Compliant</v>
      </c>
      <c r="G9">
        <v>0</v>
      </c>
    </row>
    <row r="10">
      <c r="A10" t="str">
        <v>AUD-0009</v>
      </c>
      <c r="B10" t="str">
        <v>2025-05-20</v>
      </c>
      <c r="C10" t="str">
        <v>Sep</v>
      </c>
      <c r="D10" t="str">
        <v>Perimeter Directive</v>
      </c>
      <c r="E10" t="str">
        <v>Perimeter</v>
      </c>
      <c r="F10" t="str">
        <v>Compliant</v>
      </c>
      <c r="G10">
        <v>0</v>
      </c>
    </row>
    <row r="11">
      <c r="A11" t="str">
        <v>AUD-0010</v>
      </c>
      <c r="B11" t="str">
        <v>2025-06-02</v>
      </c>
      <c r="C11" t="str">
        <v>Oct</v>
      </c>
      <c r="D11" t="str">
        <v>Perimeter Directive</v>
      </c>
      <c r="E11" t="str">
        <v>Perimeter</v>
      </c>
      <c r="F11" t="str">
        <v>Non-Compliant</v>
      </c>
      <c r="G11">
        <v>5</v>
      </c>
    </row>
    <row r="12">
      <c r="A12" t="str">
        <v>AUD-0011</v>
      </c>
      <c r="B12" t="str">
        <v>2025-06-14</v>
      </c>
      <c r="C12" t="str">
        <v>Nov</v>
      </c>
      <c r="D12" t="str">
        <v>Patrol Directive</v>
      </c>
      <c r="E12" t="str">
        <v>AOC</v>
      </c>
      <c r="F12" t="str">
        <v>Compliant</v>
      </c>
      <c r="G12">
        <v>0</v>
      </c>
    </row>
    <row r="13">
      <c r="A13" t="str">
        <v>AUD-0012</v>
      </c>
      <c r="B13" t="str">
        <v>2025-06-29</v>
      </c>
      <c r="C13" t="str">
        <v>Dec</v>
      </c>
      <c r="D13" t="str">
        <v>Incident Reporting Directive</v>
      </c>
      <c r="E13" t="str">
        <v>Terminal</v>
      </c>
      <c r="F13" t="str">
        <v>Non-Compliant</v>
      </c>
      <c r="G13">
        <v>5</v>
      </c>
    </row>
    <row r="14">
      <c r="A14" t="str">
        <v>AUD-0013</v>
      </c>
      <c r="B14" t="str">
        <v>2025-07-15</v>
      </c>
      <c r="C14" t="str">
        <v>Jan</v>
      </c>
      <c r="D14" t="str">
        <v>Screening Directive</v>
      </c>
      <c r="E14" t="str">
        <v>AOC</v>
      </c>
      <c r="F14" t="str">
        <v>Compliant</v>
      </c>
      <c r="G14">
        <v>0</v>
      </c>
    </row>
    <row r="15">
      <c r="A15" t="str">
        <v>AUD-0014</v>
      </c>
      <c r="B15" t="str">
        <v>2025-07-31</v>
      </c>
      <c r="C15" t="str">
        <v>Feb</v>
      </c>
      <c r="D15" t="str">
        <v>Badging Directive</v>
      </c>
      <c r="E15" t="str">
        <v>AOC</v>
      </c>
      <c r="F15" t="str">
        <v>Compliant</v>
      </c>
      <c r="G15">
        <v>0</v>
      </c>
    </row>
    <row r="16">
      <c r="A16" t="str">
        <v>AUD-0015</v>
      </c>
      <c r="B16" t="str">
        <v>2025-08-13</v>
      </c>
      <c r="C16" t="str">
        <v>Mar</v>
      </c>
      <c r="D16" t="str">
        <v>Patrol Directive</v>
      </c>
      <c r="E16" t="str">
        <v>Terminal</v>
      </c>
      <c r="F16" t="str">
        <v>Compliant</v>
      </c>
      <c r="G16">
        <v>0</v>
      </c>
    </row>
    <row r="17">
      <c r="A17" t="str">
        <v>AUD-0016</v>
      </c>
      <c r="B17" t="str">
        <v>2025-08-25</v>
      </c>
      <c r="C17" t="str">
        <v>Apr</v>
      </c>
      <c r="D17" t="str">
        <v>Incident Reporting Directive</v>
      </c>
      <c r="E17" t="str">
        <v>Checkpoint</v>
      </c>
      <c r="F17" t="str">
        <v>Compliant</v>
      </c>
      <c r="G17">
        <v>0</v>
      </c>
    </row>
    <row r="18">
      <c r="A18" t="str">
        <v>AUD-0017</v>
      </c>
      <c r="B18" t="str">
        <v>2025-09-09</v>
      </c>
      <c r="C18" t="str">
        <v>May</v>
      </c>
      <c r="D18" t="str">
        <v>Patrol Directive</v>
      </c>
      <c r="E18" t="str">
        <v>Terminal</v>
      </c>
      <c r="F18" t="str">
        <v>Compliant</v>
      </c>
      <c r="G18">
        <v>0</v>
      </c>
    </row>
    <row r="19">
      <c r="A19" t="str">
        <v>AUD-0018</v>
      </c>
      <c r="B19" t="str">
        <v>2025-09-25</v>
      </c>
      <c r="C19" t="str">
        <v>Jun</v>
      </c>
      <c r="D19" t="str">
        <v>Patrol Directive</v>
      </c>
      <c r="E19" t="str">
        <v>Terminal</v>
      </c>
      <c r="F19" t="str">
        <v>Compliant</v>
      </c>
      <c r="G19">
        <v>0</v>
      </c>
    </row>
    <row r="20">
      <c r="A20" t="str">
        <v>AUD-0019</v>
      </c>
      <c r="B20" t="str">
        <v>2025-10-07</v>
      </c>
      <c r="C20" t="str">
        <v>Jul</v>
      </c>
      <c r="D20" t="str">
        <v>Access Control Directive</v>
      </c>
      <c r="E20" t="str">
        <v>Perimeter</v>
      </c>
      <c r="F20" t="str">
        <v>Non-Compliant</v>
      </c>
      <c r="G20">
        <v>5</v>
      </c>
    </row>
    <row r="21">
      <c r="A21" t="str">
        <v>AUD-0020</v>
      </c>
      <c r="B21" t="str">
        <v>2025-10-20</v>
      </c>
      <c r="C21" t="str">
        <v>Aug</v>
      </c>
      <c r="D21" t="str">
        <v>Perimeter Directive</v>
      </c>
      <c r="E21" t="str">
        <v>Perimeter</v>
      </c>
      <c r="F21" t="str">
        <v>Compliant</v>
      </c>
      <c r="G21">
        <v>0</v>
      </c>
    </row>
    <row r="22">
      <c r="A22" t="str">
        <v>AUD-0021</v>
      </c>
      <c r="B22" t="str">
        <v>2025-11-01</v>
      </c>
      <c r="C22" t="str">
        <v>Sep</v>
      </c>
      <c r="D22" t="str">
        <v>Access Control Directive</v>
      </c>
      <c r="E22" t="str">
        <v>Perimeter</v>
      </c>
      <c r="F22" t="str">
        <v>Compliant</v>
      </c>
      <c r="G22">
        <v>0</v>
      </c>
    </row>
    <row r="23">
      <c r="A23" t="str">
        <v>AUD-0022</v>
      </c>
      <c r="B23" t="str">
        <v>2025-11-14</v>
      </c>
      <c r="C23" t="str">
        <v>Oct</v>
      </c>
      <c r="D23" t="str">
        <v>Access Control Directive</v>
      </c>
      <c r="E23" t="str">
        <v>AOC</v>
      </c>
      <c r="F23" t="str">
        <v>Compliant</v>
      </c>
      <c r="G23">
        <v>0</v>
      </c>
    </row>
    <row r="24">
      <c r="A24" t="str">
        <v>AUD-0023</v>
      </c>
      <c r="B24" t="str">
        <v>2025-11-28</v>
      </c>
      <c r="C24" t="str">
        <v>Nov</v>
      </c>
      <c r="D24" t="str">
        <v>Patrol Directive</v>
      </c>
      <c r="E24" t="str">
        <v>Terminal</v>
      </c>
      <c r="F24" t="str">
        <v>Compliant</v>
      </c>
      <c r="G24">
        <v>0</v>
      </c>
    </row>
    <row r="25">
      <c r="A25" t="str">
        <v>AUD-0024</v>
      </c>
      <c r="B25" t="str">
        <v>2025-12-14</v>
      </c>
      <c r="C25" t="str">
        <v>Dec</v>
      </c>
      <c r="D25" t="str">
        <v>Incident Reporting Directive</v>
      </c>
      <c r="E25" t="str">
        <v>AOC</v>
      </c>
      <c r="F25" t="str">
        <v>Compliant</v>
      </c>
      <c r="G25">
        <v>0</v>
      </c>
    </row>
    <row r="26">
      <c r="A26" t="str">
        <v>AUD-0025</v>
      </c>
      <c r="B26" t="str">
        <v>2025-12-28</v>
      </c>
      <c r="C26" t="str">
        <v>Jan</v>
      </c>
      <c r="D26" t="str">
        <v>Perimeter Directive</v>
      </c>
      <c r="E26" t="str">
        <v>Terminal</v>
      </c>
      <c r="F26" t="str">
        <v>Compliant</v>
      </c>
      <c r="G26">
        <v>0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KPI-11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COUNTA('Data'!A2:A26)</f>
      </c>
    </row>
    <row r="4">
      <c r="A4" t="str">
        <v>Total Damage Points</v>
      </c>
      <c r="B4" t="e">
        <f>SUM('Data'!G2:G26)</f>
      </c>
    </row>
    <row r="5">
      <c r="A5" t="str">
        <v>Avg Damage / Record</v>
      </c>
      <c r="B5" t="e">
        <f>IFERROR(AVERAGE('Data'!G2:G26),0)</f>
      </c>
    </row>
    <row r="6">
      <c r="A6" t="str">
        <v>Records With Damage</v>
      </c>
      <c r="B6" t="e">
        <f>COUNTIF('Data'!G2:G26,"&gt;0")</f>
      </c>
    </row>
    <row r="7">
      <c r="A7" t="str">
        <v>Fail / Breach Count</v>
      </c>
      <c r="B7" t="e">
        <f>COUNTIF('Data'!F2:F26,"*ail*")+COUNTIF('Data'!F2:F26,"*reach*")</f>
      </c>
    </row>
    <row r="8">
      <c r="A8" t="str">
        <v>Directives Audited</v>
      </c>
      <c r="B8" t="e">
        <f>COUNTA('Data'!A2:A26)</f>
      </c>
    </row>
    <row r="9">
      <c r="A9" t="str">
        <v>Non-Compliance Events</v>
      </c>
      <c r="B9" t="e">
        <f>COUNTIF('Data'!F2:F26,"Non-Compliant")</f>
      </c>
    </row>
    <row r="10">
      <c r="A10" t="str">
        <v>Compliance Rate %</v>
      </c>
      <c r="B10" t="e">
        <f>ROUND(COUNTIF('Data'!F2:F26,"Compliant")/COUNTA('Data'!A2:A26)*100,1)</f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