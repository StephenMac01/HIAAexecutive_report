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KPI Definition" sheetId="2" r:id="rId2"/>
    <sheet name="Events Log" sheetId="3" r:id="rId3"/>
    <sheet name="Reference" sheetId="4" r:id="rId4"/>
    <sheet name="Monthly Summary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Data>
    <row r="1">
      <c r="A1" t="str">
        <v>KPI-19 — On Shift Distractions — Data Entry Workbook</v>
      </c>
    </row>
    <row r="3">
      <c r="A3" t="str">
        <v>PURPOSE</v>
      </c>
    </row>
    <row r="4">
      <c r="A4" t="str">
        <v>This workbook is the single source of truth for the KPI-19 dashboard. Every chart and</v>
      </c>
    </row>
    <row r="5">
      <c r="A5" t="str">
        <v>number on the dashboard is calculated from the rows on the "Events Log" sheet.</v>
      </c>
    </row>
    <row r="7">
      <c r="A7" t="str">
        <v>HOW TO ADD DATA EACH WEEK</v>
      </c>
    </row>
    <row r="8">
      <c r="A8" t="str">
        <v>1. Open the "Events Log" sheet.</v>
      </c>
    </row>
    <row r="9">
      <c r="A9" t="str">
        <v>2. Add one new row for EACH distraction event that occurred during the week.</v>
      </c>
    </row>
    <row r="10">
      <c r="A10" t="str">
        <v xml:space="preserve">   Each event counts as one (1) event per the KPI-19 calculation.</v>
      </c>
    </row>
    <row r="11">
      <c r="A11" t="str">
        <v>3. Fill in every column left to right. Use the "Reference" sheet for allowed values.</v>
      </c>
    </row>
    <row r="12">
      <c r="A12" t="str">
        <v>4. Event ID must be unique — continue the numbering (EV-0026, EV-0027, ...).</v>
      </c>
    </row>
    <row r="13">
      <c r="A13" t="str">
        <v>5. Use the date format YYYY-MM-DD (e.g. 2026-07-06).</v>
      </c>
    </row>
    <row r="14">
      <c r="A14" t="str">
        <v>6. Set "Verified" to Yes once confirmed (CCTV/report). Use Pending while under review.</v>
      </c>
    </row>
    <row r="15">
      <c r="A15" t="str">
        <v xml:space="preserve">   Only verified events count toward damage points and the dashboard totals.</v>
      </c>
    </row>
    <row r="16">
      <c r="A16" t="str">
        <v>7. Damage Points are fixed at 10 per verified event — do not change this value.</v>
      </c>
    </row>
    <row r="17">
      <c r="A17" t="str">
        <v>8. Save the file and re-upload / re-import it to refresh the dashboard.</v>
      </c>
    </row>
    <row r="19">
      <c r="A19" t="str">
        <v>WEEKLY REPORTING</v>
      </c>
    </row>
    <row r="20">
      <c r="A20" t="str">
        <v>The "Week Ending" column groups events into the Saturday that ends their week.</v>
      </c>
    </row>
    <row r="21">
      <c r="A21" t="str">
        <v>Leave it blank for new rows — it is filled automatically when the workbook is regenerated,</v>
      </c>
    </row>
    <row r="22">
      <c r="A22" t="str">
        <v>or you may enter the Saturday date manually to keep weekly rollups accurate.</v>
      </c>
    </row>
    <row r="24">
      <c r="A24" t="str">
        <v>SCORING RULES (see "KPI Definition" sheet for full text)</v>
      </c>
    </row>
    <row r="25">
      <c r="A25" t="str">
        <v>Threshold — Fail: 1 event   |   Target: 0 events   |   Success: n/a</v>
      </c>
    </row>
    <row r="26">
      <c r="A26" t="str">
        <v>Damage Points: 10 per event   |   Advantage Points: n/a</v>
      </c>
    </row>
  </sheetData>
  <ignoredErrors>
    <ignoredError numberStoredAsText="1" sqref="A1:A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KPI ID</v>
      </c>
      <c r="B2" t="str">
        <v>KPI-19</v>
      </c>
    </row>
    <row r="3">
      <c r="A3" t="str">
        <v>KPI Name</v>
      </c>
      <c r="B3" t="str">
        <v>On Shift Distractions</v>
      </c>
    </row>
    <row r="4">
      <c r="A4" t="str">
        <v>Calculation</v>
      </c>
      <c r="B4" t="str">
        <v>Officers are not permitted to use personal materials or devices while on post in a manner inconsistent with HIAA post orders, operational procedures, or security requirements. Reports of personnel being materially distracted from assigned operational duties, or being directed by the Contractor to perform non-operational activities during assigned operational shifts contrary to HIAA requirements, will count as one (1) event.</v>
      </c>
    </row>
    <row r="5">
      <c r="A5" t="str">
        <v>Threshold - Fail</v>
      </c>
      <c r="B5">
        <v>1</v>
      </c>
    </row>
    <row r="6">
      <c r="A6" t="str">
        <v>Threshold - Target</v>
      </c>
      <c r="B6">
        <v>0</v>
      </c>
    </row>
    <row r="7">
      <c r="A7" t="str">
        <v>Threshold - Success</v>
      </c>
      <c r="B7" t="str">
        <v>n/a</v>
      </c>
    </row>
    <row r="8">
      <c r="A8" t="str">
        <v>Damage Points (per event)</v>
      </c>
      <c r="B8">
        <v>10</v>
      </c>
    </row>
    <row r="9">
      <c r="A9" t="str">
        <v>Advantage Points</v>
      </c>
      <c r="B9" t="str">
        <v>n/a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Event ID</v>
      </c>
      <c r="B1" t="str">
        <v>Date</v>
      </c>
      <c r="C1" t="str">
        <v>Week Ending</v>
      </c>
      <c r="D1" t="str">
        <v>Shift</v>
      </c>
      <c r="E1" t="str">
        <v>Post / Location</v>
      </c>
      <c r="F1" t="str">
        <v>Officer</v>
      </c>
      <c r="G1" t="str">
        <v>Supervisor</v>
      </c>
      <c r="H1" t="str">
        <v>Distraction Type</v>
      </c>
      <c r="I1" t="str">
        <v>Report Source</v>
      </c>
      <c r="J1" t="str">
        <v>Severity</v>
      </c>
      <c r="K1" t="str">
        <v>Verified</v>
      </c>
      <c r="L1" t="str">
        <v>Damage Points</v>
      </c>
      <c r="M1" t="str">
        <v>Notes</v>
      </c>
    </row>
    <row r="2">
      <c r="A2" t="str">
        <v>EV-0001</v>
      </c>
      <c r="B2" t="str">
        <v>2026-01-04</v>
      </c>
      <c r="C2" t="str">
        <v>2026-01-10</v>
      </c>
      <c r="D2" t="str">
        <v>Day</v>
      </c>
      <c r="E2" t="str">
        <v>Terminal 1 – Checkpoint A</v>
      </c>
      <c r="F2" t="str">
        <v>J. Alana</v>
      </c>
      <c r="G2" t="str">
        <v>R. Kealoha</v>
      </c>
      <c r="H2" t="str">
        <v>Personal Phone Use</v>
      </c>
      <c r="I2" t="str">
        <v>CCTV Review</v>
      </c>
      <c r="J2" t="str">
        <v>Minor</v>
      </c>
      <c r="K2" t="str">
        <v>Yes</v>
      </c>
      <c r="L2">
        <v>10</v>
      </c>
      <c r="M2" t="str">
        <v>Officer observed texting on personal device at post.</v>
      </c>
    </row>
    <row r="3">
      <c r="A3" t="str">
        <v>EV-0002</v>
      </c>
      <c r="B3" t="str">
        <v>2026-01-09</v>
      </c>
      <c r="C3" t="str">
        <v>2026-01-10</v>
      </c>
      <c r="D3" t="str">
        <v>Night</v>
      </c>
      <c r="E3" t="str">
        <v>Terminal 2 – Checkpoint C</v>
      </c>
      <c r="F3" t="str">
        <v>M. Tanaka</v>
      </c>
      <c r="G3" t="str">
        <v>L. Souza</v>
      </c>
      <c r="H3" t="str">
        <v>Personal Phone Use</v>
      </c>
      <c r="I3" t="str">
        <v>Supervisor Report</v>
      </c>
      <c r="J3" t="str">
        <v>Minor</v>
      </c>
      <c r="K3" t="str">
        <v>Yes</v>
      </c>
      <c r="L3">
        <v>10</v>
      </c>
      <c r="M3" t="str">
        <v>Scrolling social media during passenger screening lull.</v>
      </c>
    </row>
    <row r="4">
      <c r="A4" t="str">
        <v>EV-0003</v>
      </c>
      <c r="B4" t="str">
        <v>2026-01-15</v>
      </c>
      <c r="C4" t="str">
        <v>2026-01-17</v>
      </c>
      <c r="D4" t="str">
        <v>Day</v>
      </c>
      <c r="E4" t="str">
        <v>Ramp Control – Gate 12</v>
      </c>
      <c r="F4" t="str">
        <v>D. Silva</v>
      </c>
      <c r="G4" t="str">
        <v>R. Kealoha</v>
      </c>
      <c r="H4" t="str">
        <v>Non-Operational Task</v>
      </c>
      <c r="I4" t="str">
        <v>Client Complaint</v>
      </c>
      <c r="J4" t="str">
        <v>Major</v>
      </c>
      <c r="K4" t="str">
        <v>Yes</v>
      </c>
      <c r="L4">
        <v>10</v>
      </c>
      <c r="M4" t="str">
        <v>Directed by contractor to move supplies, left post unattended.</v>
      </c>
    </row>
    <row r="5">
      <c r="A5" t="str">
        <v>EV-0004</v>
      </c>
      <c r="B5" t="str">
        <v>2026-01-22</v>
      </c>
      <c r="C5" t="str">
        <v>2026-01-24</v>
      </c>
      <c r="D5" t="str">
        <v>Swing</v>
      </c>
      <c r="E5" t="str">
        <v>Perimeter – North Fence</v>
      </c>
      <c r="F5" t="str">
        <v>K. Naeole</v>
      </c>
      <c r="G5" t="str">
        <v>P. Ah Sing</v>
      </c>
      <c r="H5" t="str">
        <v>Personal Device</v>
      </c>
      <c r="I5" t="str">
        <v>CCTV Review</v>
      </c>
      <c r="J5" t="str">
        <v>Minor</v>
      </c>
      <c r="K5" t="str">
        <v>Yes</v>
      </c>
      <c r="L5">
        <v>10</v>
      </c>
      <c r="M5" t="str">
        <v>Wearing personal earbuds while on foot patrol.</v>
      </c>
    </row>
    <row r="6">
      <c r="A6" t="str">
        <v>EV-0005</v>
      </c>
      <c r="B6" t="str">
        <v>2026-02-02</v>
      </c>
      <c r="C6" t="str">
        <v>2026-02-07</v>
      </c>
      <c r="D6" t="str">
        <v>Day</v>
      </c>
      <c r="E6" t="str">
        <v>Terminal 1 – Checkpoint B</v>
      </c>
      <c r="F6" t="str">
        <v>T. Fua</v>
      </c>
      <c r="G6" t="str">
        <v>R. Kealoha</v>
      </c>
      <c r="H6" t="str">
        <v>Personal Phone Use</v>
      </c>
      <c r="I6" t="str">
        <v>CCTV Review</v>
      </c>
      <c r="J6" t="str">
        <v>Minor</v>
      </c>
      <c r="K6" t="str">
        <v>Yes</v>
      </c>
      <c r="L6">
        <v>10</v>
      </c>
      <c r="M6" t="str">
        <v>Extended personal call at screening lane.</v>
      </c>
    </row>
    <row r="7">
      <c r="A7" t="str">
        <v>EV-0006</v>
      </c>
      <c r="B7" t="str">
        <v>2026-02-05</v>
      </c>
      <c r="C7" t="str">
        <v>2026-02-07</v>
      </c>
      <c r="D7" t="str">
        <v>Night</v>
      </c>
      <c r="E7" t="str">
        <v>Baggage Handling – Level 1</v>
      </c>
      <c r="F7" t="str">
        <v>A. Reyes</v>
      </c>
      <c r="G7" t="str">
        <v>L. Souza</v>
      </c>
      <c r="H7" t="str">
        <v>Non-Operational Task</v>
      </c>
      <c r="I7" t="str">
        <v>Supervisor Report</v>
      </c>
      <c r="J7" t="str">
        <v>Major</v>
      </c>
      <c r="K7" t="str">
        <v>Yes</v>
      </c>
      <c r="L7">
        <v>10</v>
      </c>
      <c r="M7" t="str">
        <v>Assigned to clerical work by contractor supervisor.</v>
      </c>
    </row>
    <row r="8">
      <c r="A8" t="str">
        <v>EV-0007</v>
      </c>
      <c r="B8" t="str">
        <v>2026-02-14</v>
      </c>
      <c r="C8" t="str">
        <v>2026-02-14</v>
      </c>
      <c r="D8" t="str">
        <v>Swing</v>
      </c>
      <c r="E8" t="str">
        <v>Terminal 2 – Checkpoint C</v>
      </c>
      <c r="F8" t="str">
        <v>M. Tanaka</v>
      </c>
      <c r="G8" t="str">
        <v>P. Ah Sing</v>
      </c>
      <c r="H8" t="str">
        <v>Personal Phone Use</v>
      </c>
      <c r="I8" t="str">
        <v>CCTV Review</v>
      </c>
      <c r="J8" t="str">
        <v>Minor</v>
      </c>
      <c r="K8" t="str">
        <v>Yes</v>
      </c>
      <c r="L8">
        <v>10</v>
      </c>
      <c r="M8" t="str">
        <v>Repeat: personal device use at post.</v>
      </c>
    </row>
    <row r="9">
      <c r="A9" t="str">
        <v>EV-0008</v>
      </c>
      <c r="B9" t="str">
        <v>2026-02-20</v>
      </c>
      <c r="C9" t="str">
        <v>2026-02-21</v>
      </c>
      <c r="D9" t="str">
        <v>Day</v>
      </c>
      <c r="E9" t="str">
        <v>Access Control – Admin Lobby</v>
      </c>
      <c r="F9" t="str">
        <v>C. Kahale</v>
      </c>
      <c r="G9" t="str">
        <v>R. Kealoha</v>
      </c>
      <c r="H9" t="str">
        <v>Distracted Conversation</v>
      </c>
      <c r="I9" t="str">
        <v>Client Complaint</v>
      </c>
      <c r="J9" t="str">
        <v>Minor</v>
      </c>
      <c r="K9" t="str">
        <v>Yes</v>
      </c>
      <c r="L9">
        <v>10</v>
      </c>
      <c r="M9" t="str">
        <v>Prolonged non-work conversation, failed to check badge.</v>
      </c>
    </row>
    <row r="10">
      <c r="A10" t="str">
        <v>EV-0009</v>
      </c>
      <c r="B10" t="str">
        <v>2026-03-01</v>
      </c>
      <c r="C10" t="str">
        <v>2026-03-07</v>
      </c>
      <c r="D10" t="str">
        <v>Night</v>
      </c>
      <c r="E10" t="str">
        <v>Perimeter – East Gate</v>
      </c>
      <c r="F10" t="str">
        <v>K. Naeole</v>
      </c>
      <c r="G10" t="str">
        <v>L. Souza</v>
      </c>
      <c r="H10" t="str">
        <v>Personal Device</v>
      </c>
      <c r="I10" t="str">
        <v>CCTV Review</v>
      </c>
      <c r="J10" t="str">
        <v>Minor</v>
      </c>
      <c r="K10" t="str">
        <v>Yes</v>
      </c>
      <c r="L10">
        <v>10</v>
      </c>
      <c r="M10" t="str">
        <v>Watching video on personal tablet.</v>
      </c>
    </row>
    <row r="11">
      <c r="A11" t="str">
        <v>EV-0010</v>
      </c>
      <c r="B11" t="str">
        <v>2026-03-08</v>
      </c>
      <c r="C11" t="str">
        <v>2026-03-14</v>
      </c>
      <c r="D11" t="str">
        <v>Day</v>
      </c>
      <c r="E11" t="str">
        <v>Terminal 1 – Checkpoint A</v>
      </c>
      <c r="F11" t="str">
        <v>J. Alana</v>
      </c>
      <c r="G11" t="str">
        <v>R. Kealoha</v>
      </c>
      <c r="H11" t="str">
        <v>Personal Phone Use</v>
      </c>
      <c r="I11" t="str">
        <v>Supervisor Report</v>
      </c>
      <c r="J11" t="str">
        <v>Minor</v>
      </c>
      <c r="K11" t="str">
        <v>Pending</v>
      </c>
      <c r="L11">
        <v>0</v>
      </c>
      <c r="M11" t="str">
        <v>Reported but not confirmed on CCTV; pending review.</v>
      </c>
    </row>
    <row r="12">
      <c r="A12" t="str">
        <v>EV-0011</v>
      </c>
      <c r="B12" t="str">
        <v>2026-03-12</v>
      </c>
      <c r="C12" t="str">
        <v>2026-03-14</v>
      </c>
      <c r="D12" t="str">
        <v>Swing</v>
      </c>
      <c r="E12" t="str">
        <v>Ramp Control – Gate 12</v>
      </c>
      <c r="F12" t="str">
        <v>D. Silva</v>
      </c>
      <c r="G12" t="str">
        <v>P. Ah Sing</v>
      </c>
      <c r="H12" t="str">
        <v>Non-Operational Task</v>
      </c>
      <c r="I12" t="str">
        <v>Client Complaint</v>
      </c>
      <c r="J12" t="str">
        <v>Major</v>
      </c>
      <c r="K12" t="str">
        <v>Yes</v>
      </c>
      <c r="L12">
        <v>10</v>
      </c>
      <c r="M12" t="str">
        <v>Contractor directed officer to assist with vendor delivery.</v>
      </c>
    </row>
    <row r="13">
      <c r="A13" t="str">
        <v>EV-0012</v>
      </c>
      <c r="B13" t="str">
        <v>2026-03-19</v>
      </c>
      <c r="C13" t="str">
        <v>2026-03-21</v>
      </c>
      <c r="D13" t="str">
        <v>Day</v>
      </c>
      <c r="E13" t="str">
        <v>Terminal 2 – Checkpoint C</v>
      </c>
      <c r="F13" t="str">
        <v>H. Lopez</v>
      </c>
      <c r="G13" t="str">
        <v>R. Kealoha</v>
      </c>
      <c r="H13" t="str">
        <v>Personal Phone Use</v>
      </c>
      <c r="I13" t="str">
        <v>CCTV Review</v>
      </c>
      <c r="J13" t="str">
        <v>Minor</v>
      </c>
      <c r="K13" t="str">
        <v>Yes</v>
      </c>
      <c r="L13">
        <v>10</v>
      </c>
      <c r="M13" t="str">
        <v>Gaming on personal phone during shift.</v>
      </c>
    </row>
    <row r="14">
      <c r="A14" t="str">
        <v>EV-0013</v>
      </c>
      <c r="B14" t="str">
        <v>2026-03-27</v>
      </c>
      <c r="C14" t="str">
        <v>2026-03-28</v>
      </c>
      <c r="D14" t="str">
        <v>Night</v>
      </c>
      <c r="E14" t="str">
        <v>Baggage Handling – Level 1</v>
      </c>
      <c r="F14" t="str">
        <v>A. Reyes</v>
      </c>
      <c r="G14" t="str">
        <v>L. Souza</v>
      </c>
      <c r="H14" t="str">
        <v>Distracted Conversation</v>
      </c>
      <c r="I14" t="str">
        <v>Supervisor Report</v>
      </c>
      <c r="J14" t="str">
        <v>Minor</v>
      </c>
      <c r="K14" t="str">
        <v>Yes</v>
      </c>
      <c r="L14">
        <v>10</v>
      </c>
      <c r="M14" t="str">
        <v>Group of officers socializing away from post.</v>
      </c>
    </row>
    <row r="15">
      <c r="A15" t="str">
        <v>EV-0014</v>
      </c>
      <c r="B15" t="str">
        <v>2026-04-03</v>
      </c>
      <c r="C15" t="str">
        <v>2026-04-04</v>
      </c>
      <c r="D15" t="str">
        <v>Day</v>
      </c>
      <c r="E15" t="str">
        <v>Access Control – Admin Lobby</v>
      </c>
      <c r="F15" t="str">
        <v>C. Kahale</v>
      </c>
      <c r="G15" t="str">
        <v>R. Kealoha</v>
      </c>
      <c r="H15" t="str">
        <v>Personal Device</v>
      </c>
      <c r="I15" t="str">
        <v>CCTV Review</v>
      </c>
      <c r="J15" t="str">
        <v>Minor</v>
      </c>
      <c r="K15" t="str">
        <v>Yes</v>
      </c>
      <c r="L15">
        <v>10</v>
      </c>
      <c r="M15" t="str">
        <v>Personal laptop use at reception desk.</v>
      </c>
    </row>
    <row r="16">
      <c r="A16" t="str">
        <v>EV-0015</v>
      </c>
      <c r="B16" t="str">
        <v>2026-04-11</v>
      </c>
      <c r="C16" t="str">
        <v>2026-04-11</v>
      </c>
      <c r="D16" t="str">
        <v>Swing</v>
      </c>
      <c r="E16" t="str">
        <v>Perimeter – North Fence</v>
      </c>
      <c r="F16" t="str">
        <v>K. Naeole</v>
      </c>
      <c r="G16" t="str">
        <v>P. Ah Sing</v>
      </c>
      <c r="H16" t="str">
        <v>Personal Phone Use</v>
      </c>
      <c r="I16" t="str">
        <v>CCTV Review</v>
      </c>
      <c r="J16" t="str">
        <v>Minor</v>
      </c>
      <c r="K16" t="str">
        <v>Yes</v>
      </c>
      <c r="L16">
        <v>10</v>
      </c>
      <c r="M16" t="str">
        <v>Texting during vehicle inspection.</v>
      </c>
    </row>
    <row r="17">
      <c r="A17" t="str">
        <v>EV-0016</v>
      </c>
      <c r="B17" t="str">
        <v>2026-04-18</v>
      </c>
      <c r="C17" t="str">
        <v>2026-04-18</v>
      </c>
      <c r="D17" t="str">
        <v>Day</v>
      </c>
      <c r="E17" t="str">
        <v>Terminal 1 – Checkpoint B</v>
      </c>
      <c r="F17" t="str">
        <v>T. Fua</v>
      </c>
      <c r="G17" t="str">
        <v>R. Kealoha</v>
      </c>
      <c r="H17" t="str">
        <v>Non-Operational Task</v>
      </c>
      <c r="I17" t="str">
        <v>Client Complaint</v>
      </c>
      <c r="J17" t="str">
        <v>Major</v>
      </c>
      <c r="K17" t="str">
        <v>Yes</v>
      </c>
      <c r="L17">
        <v>10</v>
      </c>
      <c r="M17" t="str">
        <v>Pulled from post for contractor inventory count.</v>
      </c>
    </row>
    <row r="18">
      <c r="A18" t="str">
        <v>EV-0017</v>
      </c>
      <c r="B18" t="str">
        <v>2026-04-25</v>
      </c>
      <c r="C18" t="str">
        <v>2026-04-25</v>
      </c>
      <c r="D18" t="str">
        <v>Night</v>
      </c>
      <c r="E18" t="str">
        <v>Terminal 2 – Checkpoint C</v>
      </c>
      <c r="F18" t="str">
        <v>H. Lopez</v>
      </c>
      <c r="G18" t="str">
        <v>L. Souza</v>
      </c>
      <c r="H18" t="str">
        <v>Personal Phone Use</v>
      </c>
      <c r="I18" t="str">
        <v>CCTV Review</v>
      </c>
      <c r="J18" t="str">
        <v>Minor</v>
      </c>
      <c r="K18" t="str">
        <v>Yes</v>
      </c>
      <c r="L18">
        <v>10</v>
      </c>
      <c r="M18" t="str">
        <v>Repeated phone checks over 20 minutes.</v>
      </c>
    </row>
    <row r="19">
      <c r="A19" t="str">
        <v>EV-0018</v>
      </c>
      <c r="B19" t="str">
        <v>2026-05-02</v>
      </c>
      <c r="C19" t="str">
        <v>2026-05-02</v>
      </c>
      <c r="D19" t="str">
        <v>Day</v>
      </c>
      <c r="E19" t="str">
        <v>Ramp Control – Gate 12</v>
      </c>
      <c r="F19" t="str">
        <v>D. Silva</v>
      </c>
      <c r="G19" t="str">
        <v>R. Kealoha</v>
      </c>
      <c r="H19" t="str">
        <v>Personal Device</v>
      </c>
      <c r="I19" t="str">
        <v>Supervisor Report</v>
      </c>
      <c r="J19" t="str">
        <v>Minor</v>
      </c>
      <c r="K19" t="str">
        <v>Yes</v>
      </c>
      <c r="L19">
        <v>10</v>
      </c>
      <c r="M19" t="str">
        <v>Personal earbuds worn during aircraft movement.</v>
      </c>
    </row>
    <row r="20">
      <c r="A20" t="str">
        <v>EV-0019</v>
      </c>
      <c r="B20" t="str">
        <v>2026-05-09</v>
      </c>
      <c r="C20" t="str">
        <v>2026-05-09</v>
      </c>
      <c r="D20" t="str">
        <v>Swing</v>
      </c>
      <c r="E20" t="str">
        <v>Access Control – Admin Lobby</v>
      </c>
      <c r="F20" t="str">
        <v>C. Kahale</v>
      </c>
      <c r="G20" t="str">
        <v>P. Ah Sing</v>
      </c>
      <c r="H20" t="str">
        <v>Distracted Conversation</v>
      </c>
      <c r="I20" t="str">
        <v>Client Complaint</v>
      </c>
      <c r="J20" t="str">
        <v>Minor</v>
      </c>
      <c r="K20" t="str">
        <v>Yes</v>
      </c>
      <c r="L20">
        <v>10</v>
      </c>
      <c r="M20" t="str">
        <v>Personal visitor engaged officer for extended period.</v>
      </c>
    </row>
    <row r="21">
      <c r="A21" t="str">
        <v>EV-0020</v>
      </c>
      <c r="B21" t="str">
        <v>2026-05-16</v>
      </c>
      <c r="C21" t="str">
        <v>2026-05-16</v>
      </c>
      <c r="D21" t="str">
        <v>Night</v>
      </c>
      <c r="E21" t="str">
        <v>Perimeter – East Gate</v>
      </c>
      <c r="F21" t="str">
        <v>K. Naeole</v>
      </c>
      <c r="G21" t="str">
        <v>L. Souza</v>
      </c>
      <c r="H21" t="str">
        <v>Personal Phone Use</v>
      </c>
      <c r="I21" t="str">
        <v>CCTV Review</v>
      </c>
      <c r="J21" t="str">
        <v>Minor</v>
      </c>
      <c r="K21" t="str">
        <v>Pending</v>
      </c>
      <c r="L21">
        <v>0</v>
      </c>
      <c r="M21" t="str">
        <v>Under review; possible glare artifact on CCTV.</v>
      </c>
    </row>
    <row r="22">
      <c r="A22" t="str">
        <v>EV-0021</v>
      </c>
      <c r="B22" t="str">
        <v>2026-05-23</v>
      </c>
      <c r="C22" t="str">
        <v>2026-05-23</v>
      </c>
      <c r="D22" t="str">
        <v>Day</v>
      </c>
      <c r="E22" t="str">
        <v>Terminal 1 – Checkpoint A</v>
      </c>
      <c r="F22" t="str">
        <v>J. Alana</v>
      </c>
      <c r="G22" t="str">
        <v>R. Kealoha</v>
      </c>
      <c r="H22" t="str">
        <v>Non-Operational Task</v>
      </c>
      <c r="I22" t="str">
        <v>Client Complaint</v>
      </c>
      <c r="J22" t="str">
        <v>Major</v>
      </c>
      <c r="K22" t="str">
        <v>Yes</v>
      </c>
      <c r="L22">
        <v>10</v>
      </c>
      <c r="M22" t="str">
        <v>Directed to escort contractor staff, left screening lane.</v>
      </c>
    </row>
    <row r="23">
      <c r="A23" t="str">
        <v>EV-0022</v>
      </c>
      <c r="B23" t="str">
        <v>2026-06-01</v>
      </c>
      <c r="C23" t="str">
        <v>2026-06-06</v>
      </c>
      <c r="D23" t="str">
        <v>Day</v>
      </c>
      <c r="E23" t="str">
        <v>Terminal 2 – Checkpoint C</v>
      </c>
      <c r="F23" t="str">
        <v>M. Tanaka</v>
      </c>
      <c r="G23" t="str">
        <v>R. Kealoha</v>
      </c>
      <c r="H23" t="str">
        <v>Personal Phone Use</v>
      </c>
      <c r="I23" t="str">
        <v>CCTV Review</v>
      </c>
      <c r="J23" t="str">
        <v>Minor</v>
      </c>
      <c r="K23" t="str">
        <v>Yes</v>
      </c>
      <c r="L23">
        <v>10</v>
      </c>
      <c r="M23" t="str">
        <v>Third recorded instance for this officer.</v>
      </c>
    </row>
    <row r="24">
      <c r="A24" t="str">
        <v>EV-0023</v>
      </c>
      <c r="B24" t="str">
        <v>2026-06-07</v>
      </c>
      <c r="C24" t="str">
        <v>2026-06-13</v>
      </c>
      <c r="D24" t="str">
        <v>Night</v>
      </c>
      <c r="E24" t="str">
        <v>Baggage Handling – Level 1</v>
      </c>
      <c r="F24" t="str">
        <v>A. Reyes</v>
      </c>
      <c r="G24" t="str">
        <v>L. Souza</v>
      </c>
      <c r="H24" t="str">
        <v>Personal Device</v>
      </c>
      <c r="I24" t="str">
        <v>Supervisor Report</v>
      </c>
      <c r="J24" t="str">
        <v>Minor</v>
      </c>
      <c r="K24" t="str">
        <v>Yes</v>
      </c>
      <c r="L24">
        <v>10</v>
      </c>
      <c r="M24" t="str">
        <v>Personal tablet use at conveyor station.</v>
      </c>
    </row>
    <row r="25">
      <c r="A25" t="str">
        <v>EV-0024</v>
      </c>
      <c r="B25" t="str">
        <v>2026-06-14</v>
      </c>
      <c r="C25" t="str">
        <v>2026-06-20</v>
      </c>
      <c r="D25" t="str">
        <v>Swing</v>
      </c>
      <c r="E25" t="str">
        <v>Perimeter – North Fence</v>
      </c>
      <c r="F25" t="str">
        <v>T. Fua</v>
      </c>
      <c r="G25" t="str">
        <v>P. Ah Sing</v>
      </c>
      <c r="H25" t="str">
        <v>Personal Phone Use</v>
      </c>
      <c r="I25" t="str">
        <v>CCTV Review</v>
      </c>
      <c r="J25" t="str">
        <v>Minor</v>
      </c>
      <c r="K25" t="str">
        <v>Yes</v>
      </c>
      <c r="L25">
        <v>10</v>
      </c>
      <c r="M25" t="str">
        <v>Phone use during perimeter sweep.</v>
      </c>
    </row>
    <row r="26">
      <c r="A26" t="str">
        <v>EV-0025</v>
      </c>
      <c r="B26" t="str">
        <v>2026-06-21</v>
      </c>
      <c r="C26" t="str">
        <v>2026-06-27</v>
      </c>
      <c r="D26" t="str">
        <v>Day</v>
      </c>
      <c r="E26" t="str">
        <v>Access Control – Admin Lobby</v>
      </c>
      <c r="F26" t="str">
        <v>H. Lopez</v>
      </c>
      <c r="G26" t="str">
        <v>R. Kealoha</v>
      </c>
      <c r="H26" t="str">
        <v>Non-Operational Task</v>
      </c>
      <c r="I26" t="str">
        <v>Client Complaint</v>
      </c>
      <c r="J26" t="str">
        <v>Major</v>
      </c>
      <c r="K26" t="str">
        <v>Yes</v>
      </c>
      <c r="L26">
        <v>10</v>
      </c>
      <c r="M26" t="str">
        <v>Assigned mailroom duties by contractor during shift.</v>
      </c>
    </row>
  </sheetData>
  <ignoredErrors>
    <ignoredError numberStoredAsText="1" sqref="A1:M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Shift</v>
      </c>
      <c r="B1" t="str">
        <v>Post / Location</v>
      </c>
      <c r="C1" t="str">
        <v>Distraction Type</v>
      </c>
      <c r="D1" t="str">
        <v>Report Source</v>
      </c>
      <c r="E1" t="str">
        <v>Severity</v>
      </c>
      <c r="F1" t="str">
        <v>Verified</v>
      </c>
    </row>
    <row r="2">
      <c r="A2" t="str">
        <v>Day</v>
      </c>
      <c r="B2" t="str">
        <v>Access Control – Admin Lobby</v>
      </c>
      <c r="C2" t="str">
        <v>Distracted Conversation</v>
      </c>
      <c r="D2" t="str">
        <v>CCTV Review</v>
      </c>
      <c r="E2" t="str">
        <v>Minor</v>
      </c>
      <c r="F2" t="str">
        <v>Yes</v>
      </c>
    </row>
    <row r="3">
      <c r="A3" t="str">
        <v>Swing</v>
      </c>
      <c r="B3" t="str">
        <v>Baggage Handling – Level 1</v>
      </c>
      <c r="C3" t="str">
        <v>Non-Operational Task</v>
      </c>
      <c r="D3" t="str">
        <v>Client Complaint</v>
      </c>
      <c r="E3" t="str">
        <v>Major</v>
      </c>
      <c r="F3" t="str">
        <v>Pending</v>
      </c>
    </row>
    <row r="4">
      <c r="A4" t="str">
        <v>Night</v>
      </c>
      <c r="B4" t="str">
        <v>Perimeter – East Gate</v>
      </c>
      <c r="C4" t="str">
        <v>Personal Device</v>
      </c>
      <c r="D4" t="str">
        <v>Supervisor Report</v>
      </c>
      <c r="E4" t="str">
        <v/>
      </c>
      <c r="F4" t="str">
        <v/>
      </c>
    </row>
    <row r="5">
      <c r="A5" t="str">
        <v/>
      </c>
      <c r="B5" t="str">
        <v>Perimeter – North Fence</v>
      </c>
      <c r="C5" t="str">
        <v>Personal Phone Use</v>
      </c>
      <c r="D5" t="str">
        <v/>
      </c>
      <c r="E5" t="str">
        <v/>
      </c>
      <c r="F5" t="str">
        <v/>
      </c>
    </row>
    <row r="6">
      <c r="A6" t="str">
        <v/>
      </c>
      <c r="B6" t="str">
        <v>Ramp Control – Gate 12</v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>Terminal 1 – Checkpoint A</v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>Terminal 1 – Checkpoint B</v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>Terminal 2 – Checkpoint C</v>
      </c>
      <c r="C9" t="str">
        <v/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Month</v>
      </c>
      <c r="B1" t="str">
        <v>Events</v>
      </c>
      <c r="C1" t="str">
        <v>Damage Points</v>
      </c>
      <c r="D1" t="str">
        <v>Target</v>
      </c>
      <c r="E1" t="str">
        <v>Status</v>
      </c>
    </row>
    <row r="2">
      <c r="A2" t="str">
        <v>2026-01</v>
      </c>
      <c r="B2">
        <v>4</v>
      </c>
      <c r="C2">
        <v>40</v>
      </c>
      <c r="D2">
        <v>0</v>
      </c>
      <c r="E2" t="str">
        <v>Fail</v>
      </c>
    </row>
    <row r="3">
      <c r="A3" t="str">
        <v>2026-02</v>
      </c>
      <c r="B3">
        <v>4</v>
      </c>
      <c r="C3">
        <v>40</v>
      </c>
      <c r="D3">
        <v>0</v>
      </c>
      <c r="E3" t="str">
        <v>Fail</v>
      </c>
    </row>
    <row r="4">
      <c r="A4" t="str">
        <v>2026-03</v>
      </c>
      <c r="B4">
        <v>4</v>
      </c>
      <c r="C4">
        <v>40</v>
      </c>
      <c r="D4">
        <v>0</v>
      </c>
      <c r="E4" t="str">
        <v>Fail</v>
      </c>
    </row>
    <row r="5">
      <c r="A5" t="str">
        <v>2026-04</v>
      </c>
      <c r="B5">
        <v>4</v>
      </c>
      <c r="C5">
        <v>40</v>
      </c>
      <c r="D5">
        <v>0</v>
      </c>
      <c r="E5" t="str">
        <v>Fail</v>
      </c>
    </row>
    <row r="6">
      <c r="A6" t="str">
        <v>2026-05</v>
      </c>
      <c r="B6">
        <v>3</v>
      </c>
      <c r="C6">
        <v>30</v>
      </c>
      <c r="D6">
        <v>0</v>
      </c>
      <c r="E6" t="str">
        <v>Fail</v>
      </c>
    </row>
    <row r="7">
      <c r="A7" t="str">
        <v>2026-06</v>
      </c>
      <c r="B7">
        <v>4</v>
      </c>
      <c r="C7">
        <v>40</v>
      </c>
      <c r="D7">
        <v>0</v>
      </c>
      <c r="E7" t="str">
        <v>Fail</v>
      </c>
    </row>
    <row r="9">
      <c r="A9" t="str">
        <v>TOTAL</v>
      </c>
      <c r="B9">
        <v>23</v>
      </c>
      <c r="C9">
        <v>230</v>
      </c>
      <c r="D9" t="str">
        <v/>
      </c>
      <c r="E9" t="str">
        <v>Fail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KPI-19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COUNTA('Events Log'!A2:A26)</f>
      </c>
    </row>
    <row r="4">
      <c r="A4" t="str">
        <v>Total Damage Points</v>
      </c>
      <c r="B4" t="e">
        <f>SUM('Events Log'!L2:L26)</f>
      </c>
    </row>
    <row r="5">
      <c r="A5" t="str">
        <v>Avg Damage / Record</v>
      </c>
      <c r="B5" t="e">
        <f>IFERROR(AVERAGE('Events Log'!L2:L26),0)</f>
      </c>
    </row>
    <row r="6">
      <c r="A6" t="str">
        <v>Records With Damage</v>
      </c>
      <c r="B6" t="e">
        <f>COUNTIF('Events Log'!L2:L26,"&gt;0")</f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KPI Definition</vt:lpstr>
      <vt:lpstr>Events Log</vt:lpstr>
      <vt:lpstr>Reference</vt:lpstr>
      <vt:lpstr>Monthly Summary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