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-09 Timelines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Reporting Week</v>
      </c>
      <c r="B1" t="str">
        <v>Deliverable ID</v>
      </c>
      <c r="C1" t="str">
        <v>Deliverable Name</v>
      </c>
      <c r="D1" t="str">
        <v>Category</v>
      </c>
      <c r="E1" t="str">
        <v>Due Date</v>
      </c>
      <c r="F1" t="str">
        <v>Delivered Date</v>
      </c>
      <c r="G1" t="str">
        <v>Status</v>
      </c>
      <c r="H1" t="str">
        <v>Days Late</v>
      </c>
      <c r="I1" t="str">
        <v>Event</v>
      </c>
      <c r="J1" t="str">
        <v>Damage Points</v>
      </c>
      <c r="K1" t="str">
        <v>Advantage Points</v>
      </c>
      <c r="L1" t="str">
        <v>Notes</v>
      </c>
    </row>
    <row r="2">
      <c r="A2" t="str">
        <v>2025-01-06</v>
      </c>
      <c r="B2" t="str">
        <v>DLV-2401</v>
      </c>
      <c r="C2" t="str">
        <v>Monthly Performance Report</v>
      </c>
      <c r="D2" t="str">
        <v>Report</v>
      </c>
      <c r="E2" t="str">
        <v>2025-01-10</v>
      </c>
      <c r="F2" t="str">
        <v>2025-01-10</v>
      </c>
      <c r="G2" t="str">
        <v>On-Time</v>
      </c>
      <c r="H2">
        <v>0</v>
      </c>
      <c r="I2" t="str">
        <v>No</v>
      </c>
      <c r="J2">
        <v>0</v>
      </c>
      <c r="K2" t="str">
        <v>n/a</v>
      </c>
      <c r="L2" t="str">
        <v/>
      </c>
    </row>
    <row r="3">
      <c r="A3" t="str">
        <v>2025-01-13</v>
      </c>
      <c r="B3" t="str">
        <v>DLV-2402</v>
      </c>
      <c r="C3" t="str">
        <v>Quarterly Financial Statement</v>
      </c>
      <c r="D3" t="str">
        <v>Financial</v>
      </c>
      <c r="E3" t="str">
        <v>2025-01-17</v>
      </c>
      <c r="F3" t="str">
        <v>2025-01-16</v>
      </c>
      <c r="G3" t="str">
        <v>On-Time</v>
      </c>
      <c r="H3">
        <v>0</v>
      </c>
      <c r="I3" t="str">
        <v>No</v>
      </c>
      <c r="J3">
        <v>0</v>
      </c>
      <c r="K3" t="str">
        <v>n/a</v>
      </c>
      <c r="L3" t="str">
        <v/>
      </c>
    </row>
    <row r="4">
      <c r="A4" t="str">
        <v>2025-01-20</v>
      </c>
      <c r="B4" t="str">
        <v>DLV-2403</v>
      </c>
      <c r="C4" t="str">
        <v>Service Level Compliance Log</v>
      </c>
      <c r="D4" t="str">
        <v>Compliance</v>
      </c>
      <c r="E4" t="str">
        <v>2025-01-24</v>
      </c>
      <c r="F4" t="str">
        <v>2025-01-24</v>
      </c>
      <c r="G4" t="str">
        <v>On-Time</v>
      </c>
      <c r="H4">
        <v>0</v>
      </c>
      <c r="I4" t="str">
        <v>No</v>
      </c>
      <c r="J4">
        <v>0</v>
      </c>
      <c r="K4" t="str">
        <v>n/a</v>
      </c>
      <c r="L4" t="str">
        <v/>
      </c>
    </row>
    <row r="5">
      <c r="A5" t="str">
        <v>2025-01-27</v>
      </c>
      <c r="B5" t="str">
        <v>DLV-2404</v>
      </c>
      <c r="C5" t="str">
        <v>Risk &amp; Incident Register</v>
      </c>
      <c r="D5" t="str">
        <v>Compliance</v>
      </c>
      <c r="E5" t="str">
        <v>2025-01-31</v>
      </c>
      <c r="F5" t="str">
        <v>2025-01-30</v>
      </c>
      <c r="G5" t="str">
        <v>On-Time</v>
      </c>
      <c r="H5">
        <v>0</v>
      </c>
      <c r="I5" t="str">
        <v>No</v>
      </c>
      <c r="J5">
        <v>0</v>
      </c>
      <c r="K5" t="str">
        <v>n/a</v>
      </c>
      <c r="L5" t="str">
        <v/>
      </c>
    </row>
    <row r="6">
      <c r="A6" t="str">
        <v>2025-02-03</v>
      </c>
      <c r="B6" t="str">
        <v>DLV-2405</v>
      </c>
      <c r="C6" t="str">
        <v>Data Migration Summary</v>
      </c>
      <c r="D6" t="str">
        <v>Report</v>
      </c>
      <c r="E6" t="str">
        <v>2025-02-07</v>
      </c>
      <c r="F6" t="str">
        <v>2025-02-10</v>
      </c>
      <c r="G6" t="str">
        <v>Late</v>
      </c>
      <c r="H6">
        <v>3</v>
      </c>
      <c r="I6" t="str">
        <v>Yes</v>
      </c>
      <c r="J6">
        <v>10</v>
      </c>
      <c r="K6" t="str">
        <v>n/a</v>
      </c>
      <c r="L6" t="str">
        <v>Material failure — counts as one (1) event. HIAA engaged Contractor prior to Damage Points.</v>
      </c>
    </row>
    <row r="7">
      <c r="A7" t="str">
        <v>2025-02-10</v>
      </c>
      <c r="B7" t="str">
        <v>DLV-2406</v>
      </c>
      <c r="C7" t="str">
        <v>Annual Governance Review</v>
      </c>
      <c r="D7" t="str">
        <v>Governance</v>
      </c>
      <c r="E7" t="str">
        <v>2025-02-14</v>
      </c>
      <c r="F7" t="str">
        <v>2025-02-13</v>
      </c>
      <c r="G7" t="str">
        <v>On-Time</v>
      </c>
      <c r="H7">
        <v>0</v>
      </c>
      <c r="I7" t="str">
        <v>No</v>
      </c>
      <c r="J7">
        <v>0</v>
      </c>
      <c r="K7" t="str">
        <v>n/a</v>
      </c>
      <c r="L7" t="str">
        <v/>
      </c>
    </row>
    <row r="8">
      <c r="A8" t="str">
        <v>2025-02-17</v>
      </c>
      <c r="B8" t="str">
        <v>DLV-2407</v>
      </c>
      <c r="C8" t="str">
        <v>Vendor Onboarding Documentation</v>
      </c>
      <c r="D8" t="str">
        <v>Report</v>
      </c>
      <c r="E8" t="str">
        <v>2025-02-21</v>
      </c>
      <c r="F8" t="str">
        <v>2025-02-21</v>
      </c>
      <c r="G8" t="str">
        <v>On-Time</v>
      </c>
      <c r="H8">
        <v>0</v>
      </c>
      <c r="I8" t="str">
        <v>No</v>
      </c>
      <c r="J8">
        <v>0</v>
      </c>
      <c r="K8" t="str">
        <v>n/a</v>
      </c>
      <c r="L8" t="str">
        <v/>
      </c>
    </row>
    <row r="9">
      <c r="A9" t="str">
        <v>2025-02-24</v>
      </c>
      <c r="B9" t="str">
        <v>DLV-2408</v>
      </c>
      <c r="C9" t="str">
        <v>Security Audit Attestation</v>
      </c>
      <c r="D9" t="str">
        <v>Compliance</v>
      </c>
      <c r="E9" t="str">
        <v>2025-02-28</v>
      </c>
      <c r="F9" t="str">
        <v>2025-03-02</v>
      </c>
      <c r="G9" t="str">
        <v>Late</v>
      </c>
      <c r="H9">
        <v>2</v>
      </c>
      <c r="I9" t="str">
        <v>No</v>
      </c>
      <c r="J9">
        <v>0</v>
      </c>
      <c r="K9" t="str">
        <v>n/a</v>
      </c>
      <c r="L9" t="str">
        <v>Late delivery discussed; not deemed a material failure.</v>
      </c>
    </row>
    <row r="10">
      <c r="A10" t="str">
        <v>2025-03-03</v>
      </c>
      <c r="B10" t="str">
        <v>DLV-2409</v>
      </c>
      <c r="C10" t="str">
        <v>Change Management Log</v>
      </c>
      <c r="D10" t="str">
        <v>Compliance</v>
      </c>
      <c r="E10" t="str">
        <v>2025-03-07</v>
      </c>
      <c r="F10" t="str">
        <v>2025-03-07</v>
      </c>
      <c r="G10" t="str">
        <v>On-Time</v>
      </c>
      <c r="H10">
        <v>0</v>
      </c>
      <c r="I10" t="str">
        <v>No</v>
      </c>
      <c r="J10">
        <v>0</v>
      </c>
      <c r="K10" t="str">
        <v>n/a</v>
      </c>
      <c r="L10" t="str">
        <v/>
      </c>
    </row>
    <row r="11">
      <c r="A11" t="str">
        <v>2025-03-10</v>
      </c>
      <c r="B11" t="str">
        <v>DLV-2410</v>
      </c>
      <c r="C11" t="str">
        <v>Capacity Planning Report</v>
      </c>
      <c r="D11" t="str">
        <v>Report</v>
      </c>
      <c r="E11" t="str">
        <v>2025-03-14</v>
      </c>
      <c r="F11" t="str">
        <v>2025-03-13</v>
      </c>
      <c r="G11" t="str">
        <v>On-Time</v>
      </c>
      <c r="H11">
        <v>0</v>
      </c>
      <c r="I11" t="str">
        <v>No</v>
      </c>
      <c r="J11">
        <v>0</v>
      </c>
      <c r="K11" t="str">
        <v>n/a</v>
      </c>
      <c r="L11" t="str">
        <v/>
      </c>
    </row>
    <row r="12">
      <c r="A12" t="str">
        <v>2025-03-17</v>
      </c>
      <c r="B12" t="str">
        <v>DLV-2411</v>
      </c>
      <c r="C12" t="str">
        <v>Monthly Performance Report</v>
      </c>
      <c r="D12" t="str">
        <v>Report</v>
      </c>
      <c r="E12" t="str">
        <v>2025-03-21</v>
      </c>
      <c r="F12" t="str">
        <v>2025-03-21</v>
      </c>
      <c r="G12" t="str">
        <v>On-Time</v>
      </c>
      <c r="H12">
        <v>0</v>
      </c>
      <c r="I12" t="str">
        <v>No</v>
      </c>
      <c r="J12">
        <v>0</v>
      </c>
      <c r="K12" t="str">
        <v>n/a</v>
      </c>
      <c r="L12" t="str">
        <v/>
      </c>
    </row>
    <row r="13">
      <c r="A13" t="str">
        <v>2025-03-24</v>
      </c>
      <c r="B13" t="str">
        <v>DLV-2412</v>
      </c>
      <c r="C13" t="str">
        <v>Quarterly Financial Statement</v>
      </c>
      <c r="D13" t="str">
        <v>Financial</v>
      </c>
      <c r="E13" t="str">
        <v>2025-03-28</v>
      </c>
      <c r="F13" t="str">
        <v>2025-04-03</v>
      </c>
      <c r="G13" t="str">
        <v>Late</v>
      </c>
      <c r="H13">
        <v>6</v>
      </c>
      <c r="I13" t="str">
        <v>Yes</v>
      </c>
      <c r="J13">
        <v>10</v>
      </c>
      <c r="K13" t="str">
        <v>n/a</v>
      </c>
      <c r="L13" t="str">
        <v>Material failure — counts as one (1) event. HIAA engaged Contractor prior to Damage Points.</v>
      </c>
    </row>
    <row r="14">
      <c r="A14" t="str">
        <v>2025-03-31</v>
      </c>
      <c r="B14" t="str">
        <v>DLV-2413</v>
      </c>
      <c r="C14" t="str">
        <v>Service Level Compliance Log</v>
      </c>
      <c r="D14" t="str">
        <v>Compliance</v>
      </c>
      <c r="E14" t="str">
        <v>2025-04-04</v>
      </c>
      <c r="F14" t="str">
        <v>2025-04-07</v>
      </c>
      <c r="G14" t="str">
        <v>Late</v>
      </c>
      <c r="H14">
        <v>3</v>
      </c>
      <c r="I14" t="str">
        <v>Yes</v>
      </c>
      <c r="J14">
        <v>10</v>
      </c>
      <c r="K14" t="str">
        <v>n/a</v>
      </c>
      <c r="L14" t="str">
        <v>Material failure — counts as one (1) event. HIAA engaged Contractor prior to Damage Points.</v>
      </c>
    </row>
    <row r="15">
      <c r="A15" t="str">
        <v>2025-04-07</v>
      </c>
      <c r="B15" t="str">
        <v>DLV-2414</v>
      </c>
      <c r="C15" t="str">
        <v>Risk &amp; Incident Register</v>
      </c>
      <c r="D15" t="str">
        <v>Compliance</v>
      </c>
      <c r="E15" t="str">
        <v>2025-04-11</v>
      </c>
      <c r="F15" t="str">
        <v>2025-04-10</v>
      </c>
      <c r="G15" t="str">
        <v>On-Time</v>
      </c>
      <c r="H15">
        <v>0</v>
      </c>
      <c r="I15" t="str">
        <v>No</v>
      </c>
      <c r="J15">
        <v>0</v>
      </c>
      <c r="K15" t="str">
        <v>n/a</v>
      </c>
      <c r="L15" t="str">
        <v/>
      </c>
    </row>
    <row r="16">
      <c r="A16" t="str">
        <v>2025-04-14</v>
      </c>
      <c r="B16" t="str">
        <v>DLV-2415</v>
      </c>
      <c r="C16" t="str">
        <v>Data Migration Summary</v>
      </c>
      <c r="D16" t="str">
        <v>Report</v>
      </c>
      <c r="E16" t="str">
        <v>2025-04-18</v>
      </c>
      <c r="F16" t="str">
        <v>2025-04-18</v>
      </c>
      <c r="G16" t="str">
        <v>On-Time</v>
      </c>
      <c r="H16">
        <v>0</v>
      </c>
      <c r="I16" t="str">
        <v>No</v>
      </c>
      <c r="J16">
        <v>0</v>
      </c>
      <c r="K16" t="str">
        <v>n/a</v>
      </c>
      <c r="L16" t="str">
        <v/>
      </c>
    </row>
    <row r="17">
      <c r="A17" t="str">
        <v>2025-04-21</v>
      </c>
      <c r="B17" t="str">
        <v>DLV-2416</v>
      </c>
      <c r="C17" t="str">
        <v>Annual Governance Review</v>
      </c>
      <c r="D17" t="str">
        <v>Governance</v>
      </c>
      <c r="E17" t="str">
        <v>2025-04-25</v>
      </c>
      <c r="F17" t="str">
        <v>2025-04-24</v>
      </c>
      <c r="G17" t="str">
        <v>On-Time</v>
      </c>
      <c r="H17">
        <v>0</v>
      </c>
      <c r="I17" t="str">
        <v>No</v>
      </c>
      <c r="J17">
        <v>0</v>
      </c>
      <c r="K17" t="str">
        <v>n/a</v>
      </c>
      <c r="L17" t="str">
        <v/>
      </c>
    </row>
    <row r="18">
      <c r="A18" t="str">
        <v>2025-04-28</v>
      </c>
      <c r="B18" t="str">
        <v>DLV-2417</v>
      </c>
      <c r="C18" t="str">
        <v>Vendor Onboarding Documentation</v>
      </c>
      <c r="D18" t="str">
        <v>Report</v>
      </c>
      <c r="E18" t="str">
        <v>2025-05-02</v>
      </c>
      <c r="F18" t="str">
        <v>2025-05-03</v>
      </c>
      <c r="G18" t="str">
        <v>Late</v>
      </c>
      <c r="H18">
        <v>1</v>
      </c>
      <c r="I18" t="str">
        <v>No</v>
      </c>
      <c r="J18">
        <v>0</v>
      </c>
      <c r="K18" t="str">
        <v>n/a</v>
      </c>
      <c r="L18" t="str">
        <v>Late delivery discussed; not deemed a material failure.</v>
      </c>
    </row>
    <row r="19">
      <c r="A19" t="str">
        <v>2025-05-05</v>
      </c>
      <c r="B19" t="str">
        <v>DLV-2418</v>
      </c>
      <c r="C19" t="str">
        <v>Security Audit Attestation</v>
      </c>
      <c r="D19" t="str">
        <v>Compliance</v>
      </c>
      <c r="E19" t="str">
        <v>2025-05-09</v>
      </c>
      <c r="F19" t="str">
        <v>2025-05-08</v>
      </c>
      <c r="G19" t="str">
        <v>On-Time</v>
      </c>
      <c r="H19">
        <v>0</v>
      </c>
      <c r="I19" t="str">
        <v>No</v>
      </c>
      <c r="J19">
        <v>0</v>
      </c>
      <c r="K19" t="str">
        <v>n/a</v>
      </c>
      <c r="L19" t="str">
        <v/>
      </c>
    </row>
    <row r="20">
      <c r="A20" t="str">
        <v>2025-05-12</v>
      </c>
      <c r="B20" t="str">
        <v>DLV-2419</v>
      </c>
      <c r="C20" t="str">
        <v>Change Management Log</v>
      </c>
      <c r="D20" t="str">
        <v>Compliance</v>
      </c>
      <c r="E20" t="str">
        <v>2025-05-16</v>
      </c>
      <c r="F20" t="str">
        <v>2025-05-16</v>
      </c>
      <c r="G20" t="str">
        <v>On-Time</v>
      </c>
      <c r="H20">
        <v>0</v>
      </c>
      <c r="I20" t="str">
        <v>No</v>
      </c>
      <c r="J20">
        <v>0</v>
      </c>
      <c r="K20" t="str">
        <v>n/a</v>
      </c>
      <c r="L20" t="str">
        <v/>
      </c>
    </row>
    <row r="21">
      <c r="A21" t="str">
        <v>2025-05-19</v>
      </c>
      <c r="B21" t="str">
        <v>DLV-2420</v>
      </c>
      <c r="C21" t="str">
        <v>Capacity Planning Report</v>
      </c>
      <c r="D21" t="str">
        <v>Report</v>
      </c>
      <c r="E21" t="str">
        <v>2025-05-23</v>
      </c>
      <c r="F21" t="str">
        <v>2025-05-29</v>
      </c>
      <c r="G21" t="str">
        <v>Late</v>
      </c>
      <c r="H21">
        <v>6</v>
      </c>
      <c r="I21" t="str">
        <v>Yes</v>
      </c>
      <c r="J21">
        <v>10</v>
      </c>
      <c r="K21" t="str">
        <v>n/a</v>
      </c>
      <c r="L21" t="str">
        <v>Material failure — counts as one (1) event. HIAA engaged Contractor prior to Damage Points.</v>
      </c>
    </row>
    <row r="22">
      <c r="A22" t="str">
        <v>2025-05-26</v>
      </c>
      <c r="B22" t="str">
        <v>DLV-2421</v>
      </c>
      <c r="C22" t="str">
        <v>Monthly Performance Report</v>
      </c>
      <c r="D22" t="str">
        <v>Report</v>
      </c>
      <c r="E22" t="str">
        <v>2025-05-30</v>
      </c>
      <c r="F22" t="str">
        <v>2025-05-30</v>
      </c>
      <c r="G22" t="str">
        <v>On-Time</v>
      </c>
      <c r="H22">
        <v>0</v>
      </c>
      <c r="I22" t="str">
        <v>No</v>
      </c>
      <c r="J22">
        <v>0</v>
      </c>
      <c r="K22" t="str">
        <v>n/a</v>
      </c>
      <c r="L22" t="str">
        <v/>
      </c>
    </row>
    <row r="23">
      <c r="A23" t="str">
        <v>2025-06-02</v>
      </c>
      <c r="B23" t="str">
        <v>DLV-2422</v>
      </c>
      <c r="C23" t="str">
        <v>Quarterly Financial Statement</v>
      </c>
      <c r="D23" t="str">
        <v>Financial</v>
      </c>
      <c r="E23" t="str">
        <v>2025-06-06</v>
      </c>
      <c r="F23" t="str">
        <v>2025-06-05</v>
      </c>
      <c r="G23" t="str">
        <v>On-Time</v>
      </c>
      <c r="H23">
        <v>0</v>
      </c>
      <c r="I23" t="str">
        <v>No</v>
      </c>
      <c r="J23">
        <v>0</v>
      </c>
      <c r="K23" t="str">
        <v>n/a</v>
      </c>
      <c r="L23" t="str">
        <v/>
      </c>
    </row>
    <row r="24">
      <c r="A24" t="str">
        <v>2025-06-09</v>
      </c>
      <c r="B24" t="str">
        <v>DLV-2423</v>
      </c>
      <c r="C24" t="str">
        <v>Service Level Compliance Log</v>
      </c>
      <c r="D24" t="str">
        <v>Compliance</v>
      </c>
      <c r="E24" t="str">
        <v>2025-06-13</v>
      </c>
      <c r="F24" t="str">
        <v>2025-06-13</v>
      </c>
      <c r="G24" t="str">
        <v>On-Time</v>
      </c>
      <c r="H24">
        <v>0</v>
      </c>
      <c r="I24" t="str">
        <v>No</v>
      </c>
      <c r="J24">
        <v>0</v>
      </c>
      <c r="K24" t="str">
        <v>n/a</v>
      </c>
      <c r="L24" t="str">
        <v/>
      </c>
    </row>
    <row r="25">
      <c r="A25" t="str">
        <v>2025-06-16</v>
      </c>
      <c r="B25" t="str">
        <v>DLV-2424</v>
      </c>
      <c r="C25" t="str">
        <v>Risk &amp; Incident Register</v>
      </c>
      <c r="D25" t="str">
        <v>Compliance</v>
      </c>
      <c r="E25" t="str">
        <v>2025-06-20</v>
      </c>
      <c r="F25" t="str">
        <v>2025-06-19</v>
      </c>
      <c r="G25" t="str">
        <v>On-Time</v>
      </c>
      <c r="H25">
        <v>0</v>
      </c>
      <c r="I25" t="str">
        <v>No</v>
      </c>
      <c r="J25">
        <v>0</v>
      </c>
      <c r="K25" t="str">
        <v>n/a</v>
      </c>
      <c r="L25" t="str">
        <v/>
      </c>
    </row>
    <row r="26">
      <c r="A26" t="str">
        <v>2025-06-23</v>
      </c>
      <c r="B26" t="str">
        <v>DLV-2425</v>
      </c>
      <c r="C26" t="str">
        <v>Data Migration Summary</v>
      </c>
      <c r="D26" t="str">
        <v>Report</v>
      </c>
      <c r="E26" t="str">
        <v>2025-06-27</v>
      </c>
      <c r="F26" t="str">
        <v>2025-06-27</v>
      </c>
      <c r="G26" t="str">
        <v>On-Time</v>
      </c>
      <c r="H26">
        <v>0</v>
      </c>
      <c r="I26" t="str">
        <v>No</v>
      </c>
      <c r="J26">
        <v>0</v>
      </c>
      <c r="K26" t="str">
        <v>n/a</v>
      </c>
      <c r="L26" t="str">
        <v/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KPI-09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COUNTA('KPI-09 Timeliness'!A2:A26)</f>
      </c>
    </row>
    <row r="4">
      <c r="A4" t="str">
        <v>Total Damage Points</v>
      </c>
      <c r="B4" t="e">
        <f>SUM('KPI-09 Timeliness'!J2:J26)</f>
      </c>
    </row>
    <row r="5">
      <c r="A5" t="str">
        <v>Avg Damage / Record</v>
      </c>
      <c r="B5" t="e">
        <f>IFERROR(AVERAGE('KPI-09 Timeliness'!J2:J26),0)</f>
      </c>
    </row>
    <row r="6">
      <c r="A6" t="str">
        <v>Records With Damage</v>
      </c>
      <c r="B6" t="e">
        <f>COUNTIF('KPI-09 Timeliness'!J2:J26,"&gt;0")</f>
      </c>
    </row>
    <row r="7">
      <c r="A7" t="str">
        <v>Fail / Breach Count</v>
      </c>
      <c r="B7" t="e">
        <f>COUNTIF('KPI-09 Timeliness'!G2:G26,"*ail*")+COUNTIF('KPI-09 Timeliness'!G2:G26,"*reach*")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KPI-09 Timeliness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