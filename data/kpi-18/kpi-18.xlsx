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KPI Definition" sheetId="1" r:id="rId1"/>
    <sheet name="How To Update" sheetId="2" r:id="rId2"/>
    <sheet name="Events Log" sheetId="3" r:id="rId3"/>
    <sheet name="Monthly Summary" sheetId="4" r:id="rId4"/>
    <sheet name="Summary"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9"/>
  <sheetViews>
    <sheetView workbookViewId="0"/>
  </sheetViews>
  <sheetData>
    <row r="1">
      <c r="A1" t="str">
        <v>KPI-18</v>
      </c>
      <c r="B1" t="str">
        <v>Team Lead failure to report to HIAA Duty Security Manager</v>
      </c>
    </row>
    <row r="3">
      <c r="A3" t="str">
        <v>Calculation</v>
      </c>
      <c r="B3" t="str">
        <v>The Team Leads are required to report security incidents and regulatory incidents to the HIAA Duty Security Manager as per post orders, guidance materials. Failure to report to DSM counts as one (1) event.</v>
      </c>
    </row>
    <row r="5">
      <c r="A5" t="str">
        <v>Threshold</v>
      </c>
      <c r="B5" t="str">
        <v>Fail</v>
      </c>
      <c r="C5">
        <v>1</v>
      </c>
      <c r="D5" t="str">
        <v>Target</v>
      </c>
      <c r="E5">
        <v>0</v>
      </c>
      <c r="F5" t="str">
        <v>Success</v>
      </c>
      <c r="G5" t="str">
        <v>n/a</v>
      </c>
    </row>
    <row r="6">
      <c r="A6" t="str">
        <v>Damage points</v>
      </c>
      <c r="B6" t="str">
        <v>10 per event</v>
      </c>
      <c r="C6" t="str">
        <v/>
      </c>
      <c r="D6" t="str">
        <v>Advantage Points</v>
      </c>
      <c r="E6" t="str">
        <v>n/a</v>
      </c>
    </row>
    <row r="8">
      <c r="A8" t="str">
        <v>Reporting period</v>
      </c>
      <c r="B8" t="str">
        <v>2025 (Jan – Dec)</v>
      </c>
    </row>
    <row r="9">
      <c r="A9" t="str">
        <v>Unit of measure</v>
      </c>
      <c r="B9" t="str">
        <v>Events (each failure to report = 1 event)</v>
      </c>
    </row>
  </sheetData>
  <ignoredErrors>
    <ignoredError numberStoredAsText="1" sqref="A1:G9"/>
  </ignoredErrors>
</worksheet>
</file>

<file path=xl/worksheets/sheet2.xml><?xml version="1.0" encoding="utf-8"?>
<worksheet xmlns="http://schemas.openxmlformats.org/spreadsheetml/2006/main" xmlns:r="http://schemas.openxmlformats.org/officeDocument/2006/relationships">
  <dimension ref="A1:C23"/>
  <sheetViews>
    <sheetView workbookViewId="0"/>
  </sheetViews>
  <sheetData>
    <row r="1">
      <c r="A1" t="str">
        <v>HOW TO UPDATE THIS SHEET — KPI-18</v>
      </c>
    </row>
    <row r="3">
      <c r="A3" t="str">
        <v>Update cadence</v>
      </c>
      <c r="B3" t="str">
        <v>Add one row per failure-to-report event, every week.</v>
      </c>
    </row>
    <row r="4">
      <c r="A4" t="str">
        <v>Where</v>
      </c>
      <c r="B4" t="str">
        <v>Go to the 'Events Log' tab and add a new row under the last entry.</v>
      </c>
    </row>
    <row r="5">
      <c r="A5" t="str">
        <v>No events this week?</v>
      </c>
      <c r="B5" t="str">
        <v>Add nothing. Zero rows for a week = on target (0 events).</v>
      </c>
    </row>
    <row r="7">
      <c r="A7" t="str">
        <v>COLUMN</v>
      </c>
      <c r="B7" t="str">
        <v>WHAT TO ENTER</v>
      </c>
      <c r="C7" t="str">
        <v>EXAMPLE</v>
      </c>
    </row>
    <row r="8">
      <c r="A8" t="str">
        <v>Event ID</v>
      </c>
      <c r="B8" t="str">
        <v>Unique ID. Keep the KPI18-000 format, next number in sequence.</v>
      </c>
      <c r="C8" t="str">
        <v>KPI18-040</v>
      </c>
    </row>
    <row r="9">
      <c r="A9" t="str">
        <v>Week Ending</v>
      </c>
      <c r="B9" t="str">
        <v>Sunday date of the week the event occurred (YYYY-MM-DD).</v>
      </c>
      <c r="C9" t="str">
        <v>2025-12-28</v>
      </c>
    </row>
    <row r="10">
      <c r="A10" t="str">
        <v>Date</v>
      </c>
      <c r="B10" t="str">
        <v>Actual date the failure occurred (YYYY-MM-DD).</v>
      </c>
      <c r="C10" t="str">
        <v>2025-12-24</v>
      </c>
    </row>
    <row r="11">
      <c r="A11" t="str">
        <v>Time</v>
      </c>
      <c r="B11" t="str">
        <v>Approx. time of the incident (24h HH:MM).</v>
      </c>
      <c r="C11" t="str">
        <v>14:30</v>
      </c>
    </row>
    <row r="12">
      <c r="A12" t="str">
        <v>Team Lead</v>
      </c>
      <c r="B12" t="str">
        <v>Name of the Team Lead who failed to report.</v>
      </c>
      <c r="C12" t="str">
        <v>M. Ferreira</v>
      </c>
    </row>
    <row r="13">
      <c r="A13" t="str">
        <v>Team</v>
      </c>
      <c r="B13" t="str">
        <v>The Team Lead's team / post.</v>
      </c>
      <c r="C13" t="str">
        <v>Terminal 1 — Day</v>
      </c>
    </row>
    <row r="14">
      <c r="A14" t="str">
        <v>Shift</v>
      </c>
      <c r="B14" t="str">
        <v>Day or Night.</v>
      </c>
      <c r="C14" t="str">
        <v>Day</v>
      </c>
    </row>
    <row r="15">
      <c r="A15" t="str">
        <v>Site</v>
      </c>
      <c r="B15" t="str">
        <v>Location where the incident occurred.</v>
      </c>
      <c r="C15" t="str">
        <v>Terminal 1 — Departures</v>
      </c>
    </row>
    <row r="16">
      <c r="A16" t="str">
        <v>Incident Type</v>
      </c>
      <c r="B16" t="str">
        <v>Security Incident or Regulatory Incident.</v>
      </c>
      <c r="C16" t="str">
        <v>Security Incident</v>
      </c>
    </row>
    <row r="17">
      <c r="A17" t="str">
        <v>Severity</v>
      </c>
      <c r="B17" t="str">
        <v>Low, Moderate, High, or Critical.</v>
      </c>
      <c r="C17" t="str">
        <v>High</v>
      </c>
    </row>
    <row r="18">
      <c r="A18" t="str">
        <v>Description</v>
      </c>
      <c r="B18" t="str">
        <v>Short description of what was not reported.</v>
      </c>
      <c r="C18" t="str">
        <v>Access breach not escalated</v>
      </c>
    </row>
    <row r="19">
      <c r="A19" t="str">
        <v>Root Cause</v>
      </c>
      <c r="B19" t="str">
        <v>Why it was not reported to the DSM.</v>
      </c>
      <c r="C19" t="str">
        <v>Shift handover gap</v>
      </c>
    </row>
    <row r="20">
      <c r="A20" t="str">
        <v>Reported to DSM</v>
      </c>
      <c r="B20" t="str">
        <v>Always 'No' (a logged event = a failure to report).</v>
      </c>
      <c r="C20" t="str">
        <v>No</v>
      </c>
    </row>
    <row r="21">
      <c r="A21" t="str">
        <v>Damage Points</v>
      </c>
      <c r="B21" t="str">
        <v>Always 10. Each event = 10 damage points.</v>
      </c>
      <c r="C21" t="str">
        <v>10</v>
      </c>
    </row>
    <row r="23">
      <c r="A23" t="str">
        <v>Reminder</v>
      </c>
      <c r="B23" t="str">
        <v>Target = 0 events. Any event (&gt;= 1) is a Fail. Keep entries accurate and timely.</v>
      </c>
    </row>
  </sheetData>
  <ignoredErrors>
    <ignoredError numberStoredAsText="1" sqref="A1:C23"/>
  </ignoredErrors>
</worksheet>
</file>

<file path=xl/worksheets/sheet3.xml><?xml version="1.0" encoding="utf-8"?>
<worksheet xmlns="http://schemas.openxmlformats.org/spreadsheetml/2006/main" xmlns:r="http://schemas.openxmlformats.org/officeDocument/2006/relationships">
  <dimension ref="A1:N26"/>
  <sheetViews>
    <sheetView workbookViewId="0"/>
  </sheetViews>
  <sheetData>
    <row r="1">
      <c r="A1" t="str">
        <v>Event ID</v>
      </c>
      <c r="B1" t="str">
        <v>Week Ending</v>
      </c>
      <c r="C1" t="str">
        <v>Date</v>
      </c>
      <c r="D1" t="str">
        <v>Time</v>
      </c>
      <c r="E1" t="str">
        <v>Team Lead</v>
      </c>
      <c r="F1" t="str">
        <v>Team</v>
      </c>
      <c r="G1" t="str">
        <v>Shift</v>
      </c>
      <c r="H1" t="str">
        <v>Site</v>
      </c>
      <c r="I1" t="str">
        <v>Incident Type</v>
      </c>
      <c r="J1" t="str">
        <v>Severity</v>
      </c>
      <c r="K1" t="str">
        <v>Description</v>
      </c>
      <c r="L1" t="str">
        <v>Root Cause</v>
      </c>
      <c r="M1" t="str">
        <v>Reported to DSM</v>
      </c>
      <c r="N1" t="str">
        <v>Damage Points</v>
      </c>
    </row>
    <row r="2">
      <c r="A2" t="str">
        <v>KPI18-003</v>
      </c>
      <c r="B2" t="str">
        <v>2025-01-05</v>
      </c>
      <c r="C2" t="str">
        <v>2025-01-01</v>
      </c>
      <c r="D2" t="str">
        <v>21:06</v>
      </c>
      <c r="E2" t="str">
        <v>S. Delacroix</v>
      </c>
      <c r="F2" t="str">
        <v>Terminal 2 — Night</v>
      </c>
      <c r="G2" t="str">
        <v>Night</v>
      </c>
      <c r="H2" t="str">
        <v>Cargo Village</v>
      </c>
      <c r="I2" t="str">
        <v>Regulatory Incident</v>
      </c>
      <c r="J2" t="str">
        <v>Low</v>
      </c>
      <c r="K2" t="str">
        <v>Access breach at restricted door not escalated</v>
      </c>
      <c r="L2" t="str">
        <v>Radio/comms failure not escalated</v>
      </c>
      <c r="M2" t="str">
        <v>No</v>
      </c>
      <c r="N2">
        <v>10</v>
      </c>
    </row>
    <row r="3">
      <c r="A3" t="str">
        <v>KPI18-005</v>
      </c>
      <c r="B3" t="str">
        <v>2025-01-05</v>
      </c>
      <c r="C3" t="str">
        <v>2025-01-01</v>
      </c>
      <c r="D3" t="str">
        <v>02:21</v>
      </c>
      <c r="E3" t="str">
        <v>S. Delacroix</v>
      </c>
      <c r="F3" t="str">
        <v>Terminal 2 — Night</v>
      </c>
      <c r="G3" t="str">
        <v>Night</v>
      </c>
      <c r="H3" t="str">
        <v>Perimeter Gate 4</v>
      </c>
      <c r="I3" t="str">
        <v>Security Incident</v>
      </c>
      <c r="J3" t="str">
        <v>Low</v>
      </c>
      <c r="K3" t="str">
        <v>Perimeter alarm activation not escalated to DSM</v>
      </c>
      <c r="L3" t="str">
        <v>Assumed another TL had reported</v>
      </c>
      <c r="M3" t="str">
        <v>No</v>
      </c>
      <c r="N3">
        <v>10</v>
      </c>
    </row>
    <row r="4">
      <c r="A4" t="str">
        <v>KPI18-004</v>
      </c>
      <c r="B4" t="str">
        <v>2025-01-12</v>
      </c>
      <c r="C4" t="str">
        <v>2025-01-12</v>
      </c>
      <c r="D4" t="str">
        <v>02:09</v>
      </c>
      <c r="E4" t="str">
        <v>S. Delacroix</v>
      </c>
      <c r="F4" t="str">
        <v>Terminal 2 — Night</v>
      </c>
      <c r="G4" t="str">
        <v>Night</v>
      </c>
      <c r="H4" t="str">
        <v>Terminal 2 — Concourse</v>
      </c>
      <c r="I4" t="str">
        <v>Regulatory Incident</v>
      </c>
      <c r="J4" t="str">
        <v>High</v>
      </c>
      <c r="K4" t="str">
        <v>Late passenger screening exception unreported</v>
      </c>
      <c r="L4" t="str">
        <v>Assumed another TL had reported</v>
      </c>
      <c r="M4" t="str">
        <v>No</v>
      </c>
      <c r="N4">
        <v>10</v>
      </c>
    </row>
    <row r="5">
      <c r="A5" t="str">
        <v>KPI18-002</v>
      </c>
      <c r="B5" t="str">
        <v>2025-01-19</v>
      </c>
      <c r="C5" t="str">
        <v>2025-01-18</v>
      </c>
      <c r="D5" t="str">
        <v>23:27</v>
      </c>
      <c r="E5" t="str">
        <v>A. Nkemba</v>
      </c>
      <c r="F5" t="str">
        <v>Terminal 1 — Night</v>
      </c>
      <c r="G5" t="str">
        <v>Night</v>
      </c>
      <c r="H5" t="str">
        <v>Terminal 1 — Departures</v>
      </c>
      <c r="I5" t="str">
        <v>Security Incident</v>
      </c>
      <c r="J5" t="str">
        <v>Moderate</v>
      </c>
      <c r="K5" t="str">
        <v>Regulatory screening deviation left unreported</v>
      </c>
      <c r="L5" t="str">
        <v>Did not recognise reporting obligation</v>
      </c>
      <c r="M5" t="str">
        <v>No</v>
      </c>
      <c r="N5">
        <v>10</v>
      </c>
    </row>
    <row r="6">
      <c r="A6" t="str">
        <v>KPI18-001</v>
      </c>
      <c r="B6" t="str">
        <v>2025-01-26</v>
      </c>
      <c r="C6" t="str">
        <v>2025-01-26</v>
      </c>
      <c r="D6" t="str">
        <v>23:04</v>
      </c>
      <c r="E6" t="str">
        <v>S. Delacroix</v>
      </c>
      <c r="F6" t="str">
        <v>Terminal 2 — Night</v>
      </c>
      <c r="G6" t="str">
        <v>Night</v>
      </c>
      <c r="H6" t="str">
        <v>Terminal 1 — Departures</v>
      </c>
      <c r="I6" t="str">
        <v>Regulatory Incident</v>
      </c>
      <c r="J6" t="str">
        <v>Critical</v>
      </c>
      <c r="K6" t="str">
        <v>Perimeter alarm activation not escalated to DSM</v>
      </c>
      <c r="L6" t="str">
        <v>Did not recognise reporting obligation</v>
      </c>
      <c r="M6" t="str">
        <v>No</v>
      </c>
      <c r="N6">
        <v>10</v>
      </c>
    </row>
    <row r="7">
      <c r="A7" t="str">
        <v>KPI18-009</v>
      </c>
      <c r="B7" t="str">
        <v>2025-02-16</v>
      </c>
      <c r="C7" t="str">
        <v>2025-02-11</v>
      </c>
      <c r="D7" t="str">
        <v>15:24</v>
      </c>
      <c r="E7" t="str">
        <v>R. Okonkwo</v>
      </c>
      <c r="F7" t="str">
        <v>Terminal 2 — Day</v>
      </c>
      <c r="G7" t="str">
        <v>Day</v>
      </c>
      <c r="H7" t="str">
        <v>Cargo Village</v>
      </c>
      <c r="I7" t="str">
        <v>Security Incident</v>
      </c>
      <c r="J7" t="str">
        <v>Moderate</v>
      </c>
      <c r="K7" t="str">
        <v>CCTV outage during shift not reported to DSM</v>
      </c>
      <c r="L7" t="str">
        <v>Radio/comms failure not escalated</v>
      </c>
      <c r="M7" t="str">
        <v>No</v>
      </c>
      <c r="N7">
        <v>10</v>
      </c>
    </row>
    <row r="8">
      <c r="A8" t="str">
        <v>KPI18-011</v>
      </c>
      <c r="B8" t="str">
        <v>2025-02-16</v>
      </c>
      <c r="C8" t="str">
        <v>2025-02-11</v>
      </c>
      <c r="D8" t="str">
        <v>14:20</v>
      </c>
      <c r="E8" t="str">
        <v>R. Okonkwo</v>
      </c>
      <c r="F8" t="str">
        <v>Terminal 2 — Day</v>
      </c>
      <c r="G8" t="str">
        <v>Day</v>
      </c>
      <c r="H8" t="str">
        <v>Terminal 1 — Departures</v>
      </c>
      <c r="I8" t="str">
        <v>Security Incident</v>
      </c>
      <c r="J8" t="str">
        <v>Low</v>
      </c>
      <c r="K8" t="str">
        <v>Regulatory screening deviation left unreported</v>
      </c>
      <c r="L8" t="str">
        <v>Incident logged locally but never escalated to DSM</v>
      </c>
      <c r="M8" t="str">
        <v>No</v>
      </c>
      <c r="N8">
        <v>10</v>
      </c>
    </row>
    <row r="9">
      <c r="A9" t="str">
        <v>KPI18-008</v>
      </c>
      <c r="B9" t="str">
        <v>2025-02-23</v>
      </c>
      <c r="C9" t="str">
        <v>2025-02-19</v>
      </c>
      <c r="D9" t="str">
        <v>15:08</v>
      </c>
      <c r="E9" t="str">
        <v>M. Ferreira</v>
      </c>
      <c r="F9" t="str">
        <v>Terminal 1 — Day</v>
      </c>
      <c r="G9" t="str">
        <v>Day</v>
      </c>
      <c r="H9" t="str">
        <v>Cargo Village</v>
      </c>
      <c r="I9" t="str">
        <v>Regulatory Incident</v>
      </c>
      <c r="J9" t="str">
        <v>High</v>
      </c>
      <c r="K9" t="str">
        <v>Regulatory screening deviation left unreported</v>
      </c>
      <c r="L9" t="str">
        <v>Did not recognise reporting obligation</v>
      </c>
      <c r="M9" t="str">
        <v>No</v>
      </c>
      <c r="N9">
        <v>10</v>
      </c>
    </row>
    <row r="10">
      <c r="A10" t="str">
        <v>KPI18-006</v>
      </c>
      <c r="B10" t="str">
        <v>2025-03-02</v>
      </c>
      <c r="C10" t="str">
        <v>2025-02-25</v>
      </c>
      <c r="D10" t="str">
        <v>23:56</v>
      </c>
      <c r="E10" t="str">
        <v>A. Nkemba</v>
      </c>
      <c r="F10" t="str">
        <v>Terminal 1 — Night</v>
      </c>
      <c r="G10" t="str">
        <v>Night</v>
      </c>
      <c r="H10" t="str">
        <v>Cargo Village</v>
      </c>
      <c r="I10" t="str">
        <v>Security Incident</v>
      </c>
      <c r="J10" t="str">
        <v>Critical</v>
      </c>
      <c r="K10" t="str">
        <v>Prohibited item recovery not reported to DSM</v>
      </c>
      <c r="L10" t="str">
        <v>Did not recognise reporting obligation</v>
      </c>
      <c r="M10" t="str">
        <v>No</v>
      </c>
      <c r="N10">
        <v>10</v>
      </c>
    </row>
    <row r="11">
      <c r="A11" t="str">
        <v>KPI18-007</v>
      </c>
      <c r="B11" t="str">
        <v>2025-03-02</v>
      </c>
      <c r="C11" t="str">
        <v>2025-02-26</v>
      </c>
      <c r="D11" t="str">
        <v>08:16</v>
      </c>
      <c r="E11" t="str">
        <v>J. Mensah</v>
      </c>
      <c r="F11" t="str">
        <v>Cargo &amp; Ramp</v>
      </c>
      <c r="G11" t="str">
        <v>Day</v>
      </c>
      <c r="H11" t="str">
        <v>Terminal 1 — Departures</v>
      </c>
      <c r="I11" t="str">
        <v>Regulatory Incident</v>
      </c>
      <c r="J11" t="str">
        <v>Critical</v>
      </c>
      <c r="K11" t="str">
        <v>Regulatory screening deviation left unreported</v>
      </c>
      <c r="L11" t="str">
        <v>Delayed beyond reporting window</v>
      </c>
      <c r="M11" t="str">
        <v>No</v>
      </c>
      <c r="N11">
        <v>10</v>
      </c>
    </row>
    <row r="12">
      <c r="A12" t="str">
        <v>KPI18-010</v>
      </c>
      <c r="B12" t="str">
        <v>2025-03-02</v>
      </c>
      <c r="C12" t="str">
        <v>2025-02-26</v>
      </c>
      <c r="D12" t="str">
        <v>12:47</v>
      </c>
      <c r="E12" t="str">
        <v>M. Ferreira</v>
      </c>
      <c r="F12" t="str">
        <v>Terminal 1 — Day</v>
      </c>
      <c r="G12" t="str">
        <v>Day</v>
      </c>
      <c r="H12" t="str">
        <v>Perimeter Gate 4</v>
      </c>
      <c r="I12" t="str">
        <v>Security Incident</v>
      </c>
      <c r="J12" t="str">
        <v>Low</v>
      </c>
      <c r="K12" t="str">
        <v>Documentation non-compliance not escalated</v>
      </c>
      <c r="L12" t="str">
        <v>Delayed beyond reporting window</v>
      </c>
      <c r="M12" t="str">
        <v>No</v>
      </c>
      <c r="N12">
        <v>10</v>
      </c>
    </row>
    <row r="13">
      <c r="A13" t="str">
        <v>KPI18-015</v>
      </c>
      <c r="B13" t="str">
        <v>2025-03-09</v>
      </c>
      <c r="C13" t="str">
        <v>2025-03-03</v>
      </c>
      <c r="D13" t="str">
        <v>11:41</v>
      </c>
      <c r="E13" t="str">
        <v>M. Ferreira</v>
      </c>
      <c r="F13" t="str">
        <v>Terminal 1 — Day</v>
      </c>
      <c r="G13" t="str">
        <v>Day</v>
      </c>
      <c r="H13" t="str">
        <v>Terminal 1 — Departures</v>
      </c>
      <c r="I13" t="str">
        <v>Regulatory Incident</v>
      </c>
      <c r="J13" t="str">
        <v>High</v>
      </c>
      <c r="K13" t="str">
        <v>Suspicious behaviour incident closed without DSM report</v>
      </c>
      <c r="L13" t="str">
        <v>Delayed beyond reporting window</v>
      </c>
      <c r="M13" t="str">
        <v>No</v>
      </c>
      <c r="N13">
        <v>10</v>
      </c>
    </row>
    <row r="14">
      <c r="A14" t="str">
        <v>KPI18-014</v>
      </c>
      <c r="B14" t="str">
        <v>2025-03-09</v>
      </c>
      <c r="C14" t="str">
        <v>2025-03-04</v>
      </c>
      <c r="D14" t="str">
        <v>18:17</v>
      </c>
      <c r="E14" t="str">
        <v>S. Delacroix</v>
      </c>
      <c r="F14" t="str">
        <v>Terminal 2 — Night</v>
      </c>
      <c r="G14" t="str">
        <v>Night</v>
      </c>
      <c r="H14" t="str">
        <v>Airside Ramp</v>
      </c>
      <c r="I14" t="str">
        <v>Regulatory Incident</v>
      </c>
      <c r="J14" t="str">
        <v>Critical</v>
      </c>
      <c r="K14" t="str">
        <v>Access breach at restricted door not escalated</v>
      </c>
      <c r="L14" t="str">
        <v>Assumed another TL had reported</v>
      </c>
      <c r="M14" t="str">
        <v>No</v>
      </c>
      <c r="N14">
        <v>10</v>
      </c>
    </row>
    <row r="15">
      <c r="A15" t="str">
        <v>KPI18-012</v>
      </c>
      <c r="B15" t="str">
        <v>2025-03-16</v>
      </c>
      <c r="C15" t="str">
        <v>2025-03-10</v>
      </c>
      <c r="D15" t="str">
        <v>00:08</v>
      </c>
      <c r="E15" t="str">
        <v>P. Andrade</v>
      </c>
      <c r="F15" t="str">
        <v>Perimeter &amp; Access</v>
      </c>
      <c r="G15" t="str">
        <v>Night</v>
      </c>
      <c r="H15" t="str">
        <v>Terminal 2 — Concourse</v>
      </c>
      <c r="I15" t="str">
        <v>Security Incident</v>
      </c>
      <c r="J15" t="str">
        <v>High</v>
      </c>
      <c r="K15" t="str">
        <v>Regulatory screening deviation left unreported</v>
      </c>
      <c r="L15" t="str">
        <v>Did not recognise reporting obligation</v>
      </c>
      <c r="M15" t="str">
        <v>No</v>
      </c>
      <c r="N15">
        <v>10</v>
      </c>
    </row>
    <row r="16">
      <c r="A16" t="str">
        <v>KPI18-013</v>
      </c>
      <c r="B16" t="str">
        <v>2025-03-16</v>
      </c>
      <c r="C16" t="str">
        <v>2025-03-16</v>
      </c>
      <c r="D16" t="str">
        <v>16:32</v>
      </c>
      <c r="E16" t="str">
        <v>J. Mensah</v>
      </c>
      <c r="F16" t="str">
        <v>Cargo &amp; Ramp</v>
      </c>
      <c r="G16" t="str">
        <v>Day</v>
      </c>
      <c r="H16" t="str">
        <v>Access Control C</v>
      </c>
      <c r="I16" t="str">
        <v>Regulatory Incident</v>
      </c>
      <c r="J16" t="str">
        <v>High</v>
      </c>
      <c r="K16" t="str">
        <v>CCTV outage during shift not reported to DSM</v>
      </c>
      <c r="L16" t="str">
        <v>Shift handover gap</v>
      </c>
      <c r="M16" t="str">
        <v>No</v>
      </c>
      <c r="N16">
        <v>10</v>
      </c>
    </row>
    <row r="17">
      <c r="A17" t="str">
        <v>KPI18-017</v>
      </c>
      <c r="B17" t="str">
        <v>2025-04-06</v>
      </c>
      <c r="C17" t="str">
        <v>2025-04-03</v>
      </c>
      <c r="D17" t="str">
        <v>22:56</v>
      </c>
      <c r="E17" t="str">
        <v>A. Nkemba</v>
      </c>
      <c r="F17" t="str">
        <v>Terminal 1 — Night</v>
      </c>
      <c r="G17" t="str">
        <v>Night</v>
      </c>
      <c r="H17" t="str">
        <v>Terminal 1 — Arrivals</v>
      </c>
      <c r="I17" t="str">
        <v>Security Incident</v>
      </c>
      <c r="J17" t="str">
        <v>Moderate</v>
      </c>
      <c r="K17" t="str">
        <v>Prohibited item recovery not reported to DSM</v>
      </c>
      <c r="L17" t="str">
        <v>Shift handover gap</v>
      </c>
      <c r="M17" t="str">
        <v>No</v>
      </c>
      <c r="N17">
        <v>10</v>
      </c>
    </row>
    <row r="18">
      <c r="A18" t="str">
        <v>KPI18-016</v>
      </c>
      <c r="B18" t="str">
        <v>2025-04-13</v>
      </c>
      <c r="C18" t="str">
        <v>2025-04-10</v>
      </c>
      <c r="D18" t="str">
        <v>00:39</v>
      </c>
      <c r="E18" t="str">
        <v>P. Andrade</v>
      </c>
      <c r="F18" t="str">
        <v>Perimeter &amp; Access</v>
      </c>
      <c r="G18" t="str">
        <v>Night</v>
      </c>
      <c r="H18" t="str">
        <v>Terminal 1 — Departures</v>
      </c>
      <c r="I18" t="str">
        <v>Regulatory Incident</v>
      </c>
      <c r="J18" t="str">
        <v>Critical</v>
      </c>
      <c r="K18" t="str">
        <v>Regulatory screening deviation left unreported</v>
      </c>
      <c r="L18" t="str">
        <v>Assumed another TL had reported</v>
      </c>
      <c r="M18" t="str">
        <v>No</v>
      </c>
      <c r="N18">
        <v>10</v>
      </c>
    </row>
    <row r="19">
      <c r="A19" t="str">
        <v>KPI18-020</v>
      </c>
      <c r="B19" t="str">
        <v>2025-04-20</v>
      </c>
      <c r="C19" t="str">
        <v>2025-04-17</v>
      </c>
      <c r="D19" t="str">
        <v>10:47</v>
      </c>
      <c r="E19" t="str">
        <v>M. Ferreira</v>
      </c>
      <c r="F19" t="str">
        <v>Terminal 1 — Day</v>
      </c>
      <c r="G19" t="str">
        <v>Day</v>
      </c>
      <c r="H19" t="str">
        <v>Access Control C</v>
      </c>
      <c r="I19" t="str">
        <v>Security Incident</v>
      </c>
      <c r="J19" t="str">
        <v>Moderate</v>
      </c>
      <c r="K19" t="str">
        <v>CCTV outage during shift not reported to DSM</v>
      </c>
      <c r="L19" t="str">
        <v>Radio/comms failure not escalated</v>
      </c>
      <c r="M19" t="str">
        <v>No</v>
      </c>
      <c r="N19">
        <v>10</v>
      </c>
    </row>
    <row r="20">
      <c r="A20" t="str">
        <v>KPI18-018</v>
      </c>
      <c r="B20" t="str">
        <v>2025-04-20</v>
      </c>
      <c r="C20" t="str">
        <v>2025-04-19</v>
      </c>
      <c r="D20" t="str">
        <v>10:34</v>
      </c>
      <c r="E20" t="str">
        <v>M. Ferreira</v>
      </c>
      <c r="F20" t="str">
        <v>Terminal 1 — Day</v>
      </c>
      <c r="G20" t="str">
        <v>Day</v>
      </c>
      <c r="H20" t="str">
        <v>Terminal 1 — Departures</v>
      </c>
      <c r="I20" t="str">
        <v>Security Incident</v>
      </c>
      <c r="J20" t="str">
        <v>High</v>
      </c>
      <c r="K20" t="str">
        <v>Airside vehicle incursion not reported to DSM</v>
      </c>
      <c r="L20" t="str">
        <v>Did not recognise reporting obligation</v>
      </c>
      <c r="M20" t="str">
        <v>No</v>
      </c>
      <c r="N20">
        <v>10</v>
      </c>
    </row>
    <row r="21">
      <c r="A21" t="str">
        <v>KPI18-019</v>
      </c>
      <c r="B21" t="str">
        <v>2025-04-27</v>
      </c>
      <c r="C21" t="str">
        <v>2025-04-24</v>
      </c>
      <c r="D21" t="str">
        <v>01:08</v>
      </c>
      <c r="E21" t="str">
        <v>P. Andrade</v>
      </c>
      <c r="F21" t="str">
        <v>Perimeter &amp; Access</v>
      </c>
      <c r="G21" t="str">
        <v>Night</v>
      </c>
      <c r="H21" t="str">
        <v>Terminal 1 — Departures</v>
      </c>
      <c r="I21" t="str">
        <v>Security Incident</v>
      </c>
      <c r="J21" t="str">
        <v>Moderate</v>
      </c>
      <c r="K21" t="str">
        <v>Suspicious behaviour incident closed without DSM report</v>
      </c>
      <c r="L21" t="str">
        <v>Radio/comms failure not escalated</v>
      </c>
      <c r="M21" t="str">
        <v>No</v>
      </c>
      <c r="N21">
        <v>10</v>
      </c>
    </row>
    <row r="22">
      <c r="A22" t="str">
        <v>KPI18-023</v>
      </c>
      <c r="B22" t="str">
        <v>2025-05-11</v>
      </c>
      <c r="C22" t="str">
        <v>2025-05-06</v>
      </c>
      <c r="D22" t="str">
        <v>06:53</v>
      </c>
      <c r="E22" t="str">
        <v>M. Ferreira</v>
      </c>
      <c r="F22" t="str">
        <v>Terminal 1 — Day</v>
      </c>
      <c r="G22" t="str">
        <v>Day</v>
      </c>
      <c r="H22" t="str">
        <v>Terminal 2 — Concourse</v>
      </c>
      <c r="I22" t="str">
        <v>Regulatory Incident</v>
      </c>
      <c r="J22" t="str">
        <v>Critical</v>
      </c>
      <c r="K22" t="str">
        <v>Perimeter alarm activation not escalated to DSM</v>
      </c>
      <c r="L22" t="str">
        <v>Assumed another TL had reported</v>
      </c>
      <c r="M22" t="str">
        <v>No</v>
      </c>
      <c r="N22">
        <v>10</v>
      </c>
    </row>
    <row r="23">
      <c r="A23" t="str">
        <v>KPI18-021</v>
      </c>
      <c r="B23" t="str">
        <v>2025-05-11</v>
      </c>
      <c r="C23" t="str">
        <v>2025-05-09</v>
      </c>
      <c r="D23" t="str">
        <v>17:19</v>
      </c>
      <c r="E23" t="str">
        <v>R. Okonkwo</v>
      </c>
      <c r="F23" t="str">
        <v>Terminal 2 — Day</v>
      </c>
      <c r="G23" t="str">
        <v>Day</v>
      </c>
      <c r="H23" t="str">
        <v>Terminal 1 — Departures</v>
      </c>
      <c r="I23" t="str">
        <v>Regulatory Incident</v>
      </c>
      <c r="J23" t="str">
        <v>Low</v>
      </c>
      <c r="K23" t="str">
        <v>Airside vehicle incursion not reported to DSM</v>
      </c>
      <c r="L23" t="str">
        <v>Incident logged locally but never escalated to DSM</v>
      </c>
      <c r="M23" t="str">
        <v>No</v>
      </c>
      <c r="N23">
        <v>10</v>
      </c>
    </row>
    <row r="24">
      <c r="A24" t="str">
        <v>KPI18-022</v>
      </c>
      <c r="B24" t="str">
        <v>2025-05-11</v>
      </c>
      <c r="C24" t="str">
        <v>2025-05-11</v>
      </c>
      <c r="D24" t="str">
        <v>03:40</v>
      </c>
      <c r="E24" t="str">
        <v>A. Nkemba</v>
      </c>
      <c r="F24" t="str">
        <v>Terminal 1 — Night</v>
      </c>
      <c r="G24" t="str">
        <v>Night</v>
      </c>
      <c r="H24" t="str">
        <v>Terminal 2 — Concourse</v>
      </c>
      <c r="I24" t="str">
        <v>Security Incident</v>
      </c>
      <c r="J24" t="str">
        <v>Low</v>
      </c>
      <c r="K24" t="str">
        <v>CCTV outage during shift not reported to DSM</v>
      </c>
      <c r="L24" t="str">
        <v>Delayed beyond reporting window</v>
      </c>
      <c r="M24" t="str">
        <v>No</v>
      </c>
      <c r="N24">
        <v>10</v>
      </c>
    </row>
    <row r="25">
      <c r="A25" t="str">
        <v>KPI18-026</v>
      </c>
      <c r="B25" t="str">
        <v>2025-06-08</v>
      </c>
      <c r="C25" t="str">
        <v>2025-06-05</v>
      </c>
      <c r="D25" t="str">
        <v>20:29</v>
      </c>
      <c r="E25" t="str">
        <v>A. Nkemba</v>
      </c>
      <c r="F25" t="str">
        <v>Terminal 1 — Night</v>
      </c>
      <c r="G25" t="str">
        <v>Night</v>
      </c>
      <c r="H25" t="str">
        <v>Access Control C</v>
      </c>
      <c r="I25" t="str">
        <v>Security Incident</v>
      </c>
      <c r="J25" t="str">
        <v>Critical</v>
      </c>
      <c r="K25" t="str">
        <v>Regulatory screening deviation left unreported</v>
      </c>
      <c r="L25" t="str">
        <v>Did not recognise reporting obligation</v>
      </c>
      <c r="M25" t="str">
        <v>No</v>
      </c>
      <c r="N25">
        <v>10</v>
      </c>
    </row>
    <row r="26">
      <c r="A26" t="str">
        <v>KPI18-024</v>
      </c>
      <c r="B26" t="str">
        <v>2025-06-08</v>
      </c>
      <c r="C26" t="str">
        <v>2025-06-06</v>
      </c>
      <c r="D26" t="str">
        <v>20:11</v>
      </c>
      <c r="E26" t="str">
        <v>S. Delacroix</v>
      </c>
      <c r="F26" t="str">
        <v>Terminal 2 — Night</v>
      </c>
      <c r="G26" t="str">
        <v>Night</v>
      </c>
      <c r="H26" t="str">
        <v>Terminal 2 — Concourse</v>
      </c>
      <c r="I26" t="str">
        <v>Security Incident</v>
      </c>
      <c r="J26" t="str">
        <v>Moderate</v>
      </c>
      <c r="K26" t="str">
        <v>Unattended baggage cleared without DSM notification</v>
      </c>
      <c r="L26" t="str">
        <v>Shift handover gap</v>
      </c>
      <c r="M26" t="str">
        <v>No</v>
      </c>
      <c r="N26">
        <v>10</v>
      </c>
    </row>
  </sheetData>
  <ignoredErrors>
    <ignoredError numberStoredAsText="1" sqref="A1:N26"/>
  </ignoredErrors>
</worksheet>
</file>

<file path=xl/worksheets/sheet4.xml><?xml version="1.0" encoding="utf-8"?>
<worksheet xmlns="http://schemas.openxmlformats.org/spreadsheetml/2006/main" xmlns:r="http://schemas.openxmlformats.org/officeDocument/2006/relationships">
  <dimension ref="A1:E13"/>
  <sheetViews>
    <sheetView workbookViewId="0"/>
  </sheetViews>
  <sheetData>
    <row r="1">
      <c r="A1" t="str">
        <v>Month</v>
      </c>
      <c r="B1" t="str">
        <v>Events</v>
      </c>
      <c r="C1" t="str">
        <v>Damage Points</v>
      </c>
      <c r="D1" t="str">
        <v>Target</v>
      </c>
      <c r="E1" t="str">
        <v>Meets Target</v>
      </c>
    </row>
    <row r="2">
      <c r="A2" t="str">
        <v>2025-01</v>
      </c>
      <c r="B2">
        <v>5</v>
      </c>
      <c r="C2">
        <v>50</v>
      </c>
      <c r="D2">
        <v>0</v>
      </c>
      <c r="E2" t="str">
        <v>No</v>
      </c>
    </row>
    <row r="3">
      <c r="A3" t="str">
        <v>2025-02</v>
      </c>
      <c r="B3">
        <v>6</v>
      </c>
      <c r="C3">
        <v>60</v>
      </c>
      <c r="D3">
        <v>0</v>
      </c>
      <c r="E3" t="str">
        <v>No</v>
      </c>
    </row>
    <row r="4">
      <c r="A4" t="str">
        <v>2025-03</v>
      </c>
      <c r="B4">
        <v>4</v>
      </c>
      <c r="C4">
        <v>40</v>
      </c>
      <c r="D4">
        <v>0</v>
      </c>
      <c r="E4" t="str">
        <v>No</v>
      </c>
    </row>
    <row r="5">
      <c r="A5" t="str">
        <v>2025-04</v>
      </c>
      <c r="B5">
        <v>5</v>
      </c>
      <c r="C5">
        <v>50</v>
      </c>
      <c r="D5">
        <v>0</v>
      </c>
      <c r="E5" t="str">
        <v>No</v>
      </c>
    </row>
    <row r="6">
      <c r="A6" t="str">
        <v>2025-05</v>
      </c>
      <c r="B6">
        <v>3</v>
      </c>
      <c r="C6">
        <v>30</v>
      </c>
      <c r="D6">
        <v>0</v>
      </c>
      <c r="E6" t="str">
        <v>No</v>
      </c>
    </row>
    <row r="7">
      <c r="A7" t="str">
        <v>2025-06</v>
      </c>
      <c r="B7">
        <v>4</v>
      </c>
      <c r="C7">
        <v>40</v>
      </c>
      <c r="D7">
        <v>0</v>
      </c>
      <c r="E7" t="str">
        <v>No</v>
      </c>
    </row>
    <row r="8">
      <c r="A8" t="str">
        <v>2025-07</v>
      </c>
      <c r="B8">
        <v>3</v>
      </c>
      <c r="C8">
        <v>30</v>
      </c>
      <c r="D8">
        <v>0</v>
      </c>
      <c r="E8" t="str">
        <v>No</v>
      </c>
    </row>
    <row r="9">
      <c r="A9" t="str">
        <v>2025-08</v>
      </c>
      <c r="B9">
        <v>2</v>
      </c>
      <c r="C9">
        <v>20</v>
      </c>
      <c r="D9">
        <v>0</v>
      </c>
      <c r="E9" t="str">
        <v>No</v>
      </c>
    </row>
    <row r="10">
      <c r="A10" t="str">
        <v>2025-09</v>
      </c>
      <c r="B10">
        <v>3</v>
      </c>
      <c r="C10">
        <v>30</v>
      </c>
      <c r="D10">
        <v>0</v>
      </c>
      <c r="E10" t="str">
        <v>No</v>
      </c>
    </row>
    <row r="11">
      <c r="A11" t="str">
        <v>2025-10</v>
      </c>
      <c r="B11">
        <v>1</v>
      </c>
      <c r="C11">
        <v>10</v>
      </c>
      <c r="D11">
        <v>0</v>
      </c>
      <c r="E11" t="str">
        <v>No</v>
      </c>
    </row>
    <row r="12">
      <c r="A12" t="str">
        <v>2025-11</v>
      </c>
      <c r="B12">
        <v>2</v>
      </c>
      <c r="C12">
        <v>20</v>
      </c>
      <c r="D12">
        <v>0</v>
      </c>
      <c r="E12" t="str">
        <v>No</v>
      </c>
    </row>
    <row r="13">
      <c r="A13" t="str">
        <v>2025-12</v>
      </c>
      <c r="B13">
        <v>1</v>
      </c>
      <c r="C13">
        <v>10</v>
      </c>
      <c r="D13">
        <v>0</v>
      </c>
      <c r="E13" t="str">
        <v>No</v>
      </c>
    </row>
  </sheetData>
  <ignoredErrors>
    <ignoredError numberStoredAsText="1" sqref="A1:E13"/>
  </ignoredErrors>
</worksheet>
</file>

<file path=xl/worksheets/sheet5.xml><?xml version="1.0" encoding="utf-8"?>
<worksheet xmlns="http://schemas.openxmlformats.org/spreadsheetml/2006/main" xmlns:r="http://schemas.openxmlformats.org/officeDocument/2006/relationships">
  <dimension ref="A1:B6"/>
  <sheetViews>
    <sheetView workbookViewId="0"/>
  </sheetViews>
  <cols>
    <col min="1" max="1" width="34.83203125" customWidth="1"/>
    <col min="2" max="2" width="20.83203125" customWidth="1"/>
  </cols>
  <sheetData>
    <row r="1">
      <c r="A1" t="str">
        <v>KPI-18 — Summary</v>
      </c>
    </row>
    <row r="2">
      <c r="A2" t="str">
        <v>Metric</v>
      </c>
      <c r="B2" t="str">
        <v>Value</v>
      </c>
    </row>
    <row r="3">
      <c r="A3" t="str">
        <v>Total Records</v>
      </c>
      <c r="B3" t="e">
        <f>COUNTA('Events Log'!A2:A26)</f>
      </c>
    </row>
    <row r="4">
      <c r="A4" t="str">
        <v>Total Damage Points</v>
      </c>
      <c r="B4" t="e">
        <f>SUM('Events Log'!N2:N26)</f>
      </c>
    </row>
    <row r="5">
      <c r="A5" t="str">
        <v>Avg Damage / Record</v>
      </c>
      <c r="B5" t="e">
        <f>IFERROR(AVERAGE('Events Log'!N2:N26),0)</f>
      </c>
    </row>
    <row r="6">
      <c r="A6" t="str">
        <v>Records With Damage</v>
      </c>
      <c r="B6" t="e">
        <f>COUNTIF('Events Log'!N2:N26,"&gt;0")</f>
      </c>
    </row>
  </sheetData>
  <ignoredErrors>
    <ignoredError numberStoredAsText="1" sqref="A1:B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KPI Definition</vt:lpstr>
      <vt:lpstr>How To Update</vt:lpstr>
      <vt:lpstr>Events Log</vt:lpstr>
      <vt:lpstr>Monthly Summary</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