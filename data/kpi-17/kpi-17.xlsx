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PI Definition" sheetId="1" r:id="rId1"/>
    <sheet name="Instructions" sheetId="2" r:id="rId2"/>
    <sheet name="Events" sheetId="3" r:id="rId3"/>
    <sheet name="Weekly Summary" sheetId="4" r:id="rId4"/>
    <sheet name="Monthly Summary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KPI</v>
      </c>
      <c r="B1" t="str">
        <v>KPI-17</v>
      </c>
    </row>
    <row r="2">
      <c r="A2" t="str">
        <v>Title</v>
      </c>
      <c r="B2" t="str">
        <v>Contractor Safety Plan</v>
      </c>
    </row>
    <row r="3">
      <c r="A3" t="str">
        <v>Calculation</v>
      </c>
      <c r="B3" t="str">
        <v>The Contractor is provided the HIAA contractor safety plan that must be adhered to. Any element of the contractor safety program not adhered to will count as one (1) event.</v>
      </c>
    </row>
    <row r="4">
      <c r="A4" t="str">
        <v>Threshold — Fail</v>
      </c>
      <c r="B4">
        <v>1</v>
      </c>
    </row>
    <row r="5">
      <c r="A5" t="str">
        <v>Threshold — Target</v>
      </c>
      <c r="B5">
        <v>0</v>
      </c>
    </row>
    <row r="6">
      <c r="A6" t="str">
        <v>Threshold — Success</v>
      </c>
      <c r="B6" t="str">
        <v>n/a</v>
      </c>
    </row>
    <row r="7">
      <c r="A7" t="str">
        <v>Damage Points</v>
      </c>
      <c r="B7" t="str">
        <v>25 per event</v>
      </c>
    </row>
    <row r="8">
      <c r="A8" t="str">
        <v>Advantage Points</v>
      </c>
      <c r="B8" t="str">
        <v>n/a</v>
      </c>
    </row>
    <row r="9">
      <c r="A9" t="str">
        <v>Reporting Cadence</v>
      </c>
      <c r="B9" t="str">
        <v>Weekly (one row per non-adherence event)</v>
      </c>
    </row>
    <row r="10">
      <c r="A10" t="str">
        <v>Reporting Period</v>
      </c>
      <c r="B10" t="str">
        <v>Jan 2025 – Dec 2025</v>
      </c>
    </row>
    <row r="11">
      <c r="A11" t="str">
        <v>Total Events (YTD)</v>
      </c>
      <c r="B11">
        <v>25</v>
      </c>
    </row>
    <row r="12">
      <c r="A12" t="str">
        <v>Total Damage Points (YTD)</v>
      </c>
      <c r="B12">
        <v>625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KPI-17 — Contractor Safety Plan — How to update this workbook</v>
      </c>
    </row>
    <row r="2">
      <c r="A2" t="str">
        <v/>
      </c>
    </row>
    <row r="3">
      <c r="A3" t="str">
        <v>1. Every week, review the contractor's adherence to the HIAA safety plan.</v>
      </c>
    </row>
    <row r="4">
      <c r="A4" t="str">
        <v>2. For EACH element of the safety program that was not adhered to, add ONE new row on the 'Events' sheet.</v>
      </c>
    </row>
    <row r="5">
      <c r="A5" t="str">
        <v>3. If there were no non-adherence events that week, add no rows — that week meets the Target (0).</v>
      </c>
    </row>
    <row r="6">
      <c r="A6" t="str">
        <v>4. Do not rename or reorder the columns. The dashboard reads them by these exact headers.</v>
      </c>
    </row>
    <row r="7">
      <c r="A7" t="str">
        <v>5. Save the file and re-upload / replace it. The dashboard updates automatically.</v>
      </c>
    </row>
    <row r="8">
      <c r="A8" t="str">
        <v/>
      </c>
    </row>
    <row r="9">
      <c r="A9" t="str">
        <v>Column</v>
      </c>
      <c r="B9" t="str">
        <v>Required</v>
      </c>
      <c r="C9" t="str">
        <v>How to fill it in</v>
      </c>
    </row>
    <row r="10">
      <c r="A10" t="str">
        <v>Event ID</v>
      </c>
      <c r="B10" t="str">
        <v>Yes</v>
      </c>
      <c r="C10" t="str">
        <v>Unique code, e.g. EVT-031. Keep incrementing.</v>
      </c>
    </row>
    <row r="11">
      <c r="A11" t="str">
        <v>Date</v>
      </c>
      <c r="B11" t="str">
        <v>Yes</v>
      </c>
      <c r="C11" t="str">
        <v>Date the event was observed. Format YYYY-MM-DD.</v>
      </c>
    </row>
    <row r="12">
      <c r="A12" t="str">
        <v>Reporting Week</v>
      </c>
      <c r="B12" t="str">
        <v>Yes</v>
      </c>
      <c r="C12" t="str">
        <v>ISO week the event falls in, e.g. 2025-W07.</v>
      </c>
    </row>
    <row r="13">
      <c r="A13" t="str">
        <v>Week Ending</v>
      </c>
      <c r="B13" t="str">
        <v>Yes</v>
      </c>
      <c r="C13" t="str">
        <v>Sunday that ends the reporting week. Format YYYY-MM-DD.</v>
      </c>
    </row>
    <row r="14">
      <c r="A14" t="str">
        <v>Month</v>
      </c>
      <c r="B14" t="str">
        <v>Yes</v>
      </c>
      <c r="C14" t="str">
        <v>Three-letter month, e.g. Feb. Drives the monthly trend chart.</v>
      </c>
    </row>
    <row r="15">
      <c r="A15" t="str">
        <v>Safety Element</v>
      </c>
      <c r="B15" t="str">
        <v>Yes</v>
      </c>
      <c r="C15" t="str">
        <v>Which safety program element was not adhered to (see list below).</v>
      </c>
    </row>
    <row r="16">
      <c r="A16" t="str">
        <v>Description</v>
      </c>
      <c r="B16" t="str">
        <v>Yes</v>
      </c>
      <c r="C16" t="str">
        <v>Short description of what happened.</v>
      </c>
    </row>
    <row r="17">
      <c r="A17" t="str">
        <v>Location</v>
      </c>
      <c r="B17" t="str">
        <v>Yes</v>
      </c>
      <c r="C17" t="str">
        <v>Where on site it occurred.</v>
      </c>
    </row>
    <row r="18">
      <c r="A18" t="str">
        <v>Severity</v>
      </c>
      <c r="B18" t="str">
        <v>Yes</v>
      </c>
      <c r="C18" t="str">
        <v>Low, Medium, or High.</v>
      </c>
    </row>
    <row r="19">
      <c r="A19" t="str">
        <v>Reported By</v>
      </c>
      <c r="B19" t="str">
        <v>Yes</v>
      </c>
      <c r="C19" t="str">
        <v>Person who logged the finding.</v>
      </c>
    </row>
    <row r="20">
      <c r="A20" t="str">
        <v>Status</v>
      </c>
      <c r="B20" t="str">
        <v>Yes</v>
      </c>
      <c r="C20" t="str">
        <v>Open or Closed.</v>
      </c>
    </row>
    <row r="21">
      <c r="A21" t="str">
        <v>Corrective Action</v>
      </c>
      <c r="B21" t="str">
        <v>No</v>
      </c>
      <c r="C21" t="str">
        <v>What was done to fix it.</v>
      </c>
    </row>
    <row r="22">
      <c r="A22" t="str">
        <v>Damage Points</v>
      </c>
      <c r="B22" t="str">
        <v>Yes</v>
      </c>
      <c r="C22" t="str">
        <v>Always 25 (one event = 25 damage points).</v>
      </c>
    </row>
    <row r="23">
      <c r="A23" t="str">
        <v/>
      </c>
    </row>
    <row r="24">
      <c r="A24" t="str">
        <v>Accepted Safety Element values:</v>
      </c>
    </row>
    <row r="25">
      <c r="A25" t="str">
        <v/>
      </c>
      <c r="B25" t="str">
        <v>PPE Compliance</v>
      </c>
    </row>
    <row r="26">
      <c r="A26" t="str">
        <v/>
      </c>
      <c r="B26" t="str">
        <v>Permit to Work</v>
      </c>
    </row>
    <row r="27">
      <c r="A27" t="str">
        <v/>
      </c>
      <c r="B27" t="str">
        <v>Fall Protection</v>
      </c>
    </row>
    <row r="28">
      <c r="A28" t="str">
        <v/>
      </c>
      <c r="B28" t="str">
        <v>Hot Work Control</v>
      </c>
    </row>
    <row r="29">
      <c r="A29" t="str">
        <v/>
      </c>
      <c r="B29" t="str">
        <v>Lockout / Tagout</v>
      </c>
    </row>
    <row r="30">
      <c r="A30" t="str">
        <v/>
      </c>
      <c r="B30" t="str">
        <v>Confined Space Entry</v>
      </c>
    </row>
    <row r="31">
      <c r="A31" t="str">
        <v/>
      </c>
      <c r="B31" t="str">
        <v>Housekeeping</v>
      </c>
    </row>
    <row r="32">
      <c r="A32" t="str">
        <v/>
      </c>
      <c r="B32" t="str">
        <v>Vehicle &amp; Equipment</v>
      </c>
    </row>
    <row r="33">
      <c r="A33" t="str">
        <v/>
      </c>
      <c r="B33" t="str">
        <v>Excavation &amp; Trenching</v>
      </c>
    </row>
    <row r="34">
      <c r="A34" t="str">
        <v/>
      </c>
      <c r="B34" t="str">
        <v>Emergency Preparedness</v>
      </c>
    </row>
    <row r="35">
      <c r="A35" t="str">
        <v/>
      </c>
      <c r="B35" t="str">
        <v>Toolbox Talks / Training</v>
      </c>
    </row>
    <row r="36">
      <c r="A36" t="str">
        <v/>
      </c>
      <c r="B36" t="str">
        <v>Environmental / Spill Control</v>
      </c>
    </row>
  </sheetData>
  <ignoredErrors>
    <ignoredError numberStoredAsText="1" sqref="A1:C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Data>
    <row r="1">
      <c r="A1" t="str">
        <v>Event ID</v>
      </c>
      <c r="B1" t="str">
        <v>Date</v>
      </c>
      <c r="C1" t="str">
        <v>Reporting Week</v>
      </c>
      <c r="D1" t="str">
        <v>Week Ending</v>
      </c>
      <c r="E1" t="str">
        <v>Month</v>
      </c>
      <c r="F1" t="str">
        <v>Safety Element</v>
      </c>
      <c r="G1" t="str">
        <v>Description</v>
      </c>
      <c r="H1" t="str">
        <v>Location</v>
      </c>
      <c r="I1" t="str">
        <v>Severity</v>
      </c>
      <c r="J1" t="str">
        <v>Reported By</v>
      </c>
      <c r="K1" t="str">
        <v>Status</v>
      </c>
      <c r="L1" t="str">
        <v>Corrective Action</v>
      </c>
      <c r="M1" t="str">
        <v>Damage Points</v>
      </c>
    </row>
    <row r="2">
      <c r="A2" t="str">
        <v>EVT-001</v>
      </c>
      <c r="B2" t="str">
        <v>2025-01-08</v>
      </c>
      <c r="C2" t="str">
        <v>2025-W02</v>
      </c>
      <c r="D2" t="str">
        <v>2025-01-12</v>
      </c>
      <c r="E2" t="str">
        <v>Jan</v>
      </c>
      <c r="F2" t="str">
        <v>Housekeeping</v>
      </c>
      <c r="G2" t="str">
        <v>Access route obstructed by uncleared materials and debris.</v>
      </c>
      <c r="H2" t="str">
        <v>Maintenance Hangar</v>
      </c>
      <c r="I2" t="str">
        <v>High</v>
      </c>
      <c r="J2" t="str">
        <v>M. O'Brien (HSE)</v>
      </c>
      <c r="K2" t="str">
        <v>Closed</v>
      </c>
      <c r="L2" t="str">
        <v>Access route cleared; daily housekeeping check added.</v>
      </c>
      <c r="M2">
        <v>25</v>
      </c>
    </row>
    <row r="3">
      <c r="A3" t="str">
        <v>EVT-002</v>
      </c>
      <c r="B3" t="str">
        <v>2025-01-08</v>
      </c>
      <c r="C3" t="str">
        <v>2025-W02</v>
      </c>
      <c r="D3" t="str">
        <v>2025-01-12</v>
      </c>
      <c r="E3" t="str">
        <v>Jan</v>
      </c>
      <c r="F3" t="str">
        <v>Excavation &amp; Trenching</v>
      </c>
      <c r="G3" t="str">
        <v>Unshored trench &gt;1.2m entered without protection.</v>
      </c>
      <c r="H3" t="str">
        <v>Terminal B Expansion</v>
      </c>
      <c r="I3" t="str">
        <v>Low</v>
      </c>
      <c r="J3" t="str">
        <v>A. Cortez (Safety Officer)</v>
      </c>
      <c r="K3" t="str">
        <v>Closed</v>
      </c>
      <c r="L3" t="str">
        <v>Trench shored; excavation permit and inspection completed.</v>
      </c>
      <c r="M3">
        <v>25</v>
      </c>
    </row>
    <row r="4">
      <c r="A4" t="str">
        <v>EVT-003</v>
      </c>
      <c r="B4" t="str">
        <v>2025-01-17</v>
      </c>
      <c r="C4" t="str">
        <v>2025-W03</v>
      </c>
      <c r="D4" t="str">
        <v>2025-01-19</v>
      </c>
      <c r="E4" t="str">
        <v>Jan</v>
      </c>
      <c r="F4" t="str">
        <v>Hot Work Control</v>
      </c>
      <c r="G4" t="str">
        <v>Grinding performed without fire watch and hot work permit.</v>
      </c>
      <c r="H4" t="str">
        <v>Cargo Building</v>
      </c>
      <c r="I4" t="str">
        <v>High</v>
      </c>
      <c r="J4" t="str">
        <v>A. Cortez (Safety Officer)</v>
      </c>
      <c r="K4" t="str">
        <v>Closed</v>
      </c>
      <c r="L4" t="str">
        <v>Fire watch assigned; hot work permit issued and posted.</v>
      </c>
      <c r="M4">
        <v>25</v>
      </c>
    </row>
    <row r="5">
      <c r="A5" t="str">
        <v>EVT-004</v>
      </c>
      <c r="B5" t="str">
        <v>2025-01-20</v>
      </c>
      <c r="C5" t="str">
        <v>2025-W04</v>
      </c>
      <c r="D5" t="str">
        <v>2025-01-26</v>
      </c>
      <c r="E5" t="str">
        <v>Jan</v>
      </c>
      <c r="F5" t="str">
        <v>Hot Work Control</v>
      </c>
      <c r="G5" t="str">
        <v>Grinding performed without fire watch and hot work permit.</v>
      </c>
      <c r="H5" t="str">
        <v>Maintenance Hangar</v>
      </c>
      <c r="I5" t="str">
        <v>High</v>
      </c>
      <c r="J5" t="str">
        <v>L. Nguyen (Auditor)</v>
      </c>
      <c r="K5" t="str">
        <v>Closed</v>
      </c>
      <c r="L5" t="str">
        <v>Fire watch assigned; hot work permit issued and posted.</v>
      </c>
      <c r="M5">
        <v>25</v>
      </c>
    </row>
    <row r="6">
      <c r="A6" t="str">
        <v>EVT-005</v>
      </c>
      <c r="B6" t="str">
        <v>2025-01-28</v>
      </c>
      <c r="C6" t="str">
        <v>2025-W05</v>
      </c>
      <c r="D6" t="str">
        <v>2025-02-02</v>
      </c>
      <c r="E6" t="str">
        <v>Jan</v>
      </c>
      <c r="F6" t="str">
        <v>Confined Space Entry</v>
      </c>
      <c r="G6" t="str">
        <v>Entry made without gas testing and standby attendant.</v>
      </c>
      <c r="H6" t="str">
        <v>Perimeter Road</v>
      </c>
      <c r="I6" t="str">
        <v>Low</v>
      </c>
      <c r="J6" t="str">
        <v>M. O'Brien (HSE)</v>
      </c>
      <c r="K6" t="str">
        <v>Closed</v>
      </c>
      <c r="L6" t="str">
        <v>Space evacuated; gas test and standby attendant put in place.</v>
      </c>
      <c r="M6">
        <v>25</v>
      </c>
    </row>
    <row r="7">
      <c r="A7" t="str">
        <v>EVT-006</v>
      </c>
      <c r="B7" t="str">
        <v>2025-01-31</v>
      </c>
      <c r="C7" t="str">
        <v>2025-W05</v>
      </c>
      <c r="D7" t="str">
        <v>2025-02-02</v>
      </c>
      <c r="E7" t="str">
        <v>Jan</v>
      </c>
      <c r="F7" t="str">
        <v>Environmental / Spill Control</v>
      </c>
      <c r="G7" t="str">
        <v>Fuel drums stored without secondary containment.</v>
      </c>
      <c r="H7" t="str">
        <v>Airside Apron</v>
      </c>
      <c r="I7" t="str">
        <v>Medium</v>
      </c>
      <c r="J7" t="str">
        <v>M. O'Brien (HSE)</v>
      </c>
      <c r="K7" t="str">
        <v>Closed</v>
      </c>
      <c r="L7" t="str">
        <v>Secondary containment provided; spill kit restocked.</v>
      </c>
      <c r="M7">
        <v>25</v>
      </c>
    </row>
    <row r="8">
      <c r="A8" t="str">
        <v>EVT-007</v>
      </c>
      <c r="B8" t="str">
        <v>2025-02-04</v>
      </c>
      <c r="C8" t="str">
        <v>2025-W06</v>
      </c>
      <c r="D8" t="str">
        <v>2025-02-09</v>
      </c>
      <c r="E8" t="str">
        <v>Feb</v>
      </c>
      <c r="F8" t="str">
        <v>PPE Compliance</v>
      </c>
      <c r="G8" t="str">
        <v>Worker observed without required hi-vis / hard hat in active zone.</v>
      </c>
      <c r="H8" t="str">
        <v>Fuel Farm</v>
      </c>
      <c r="I8" t="str">
        <v>High</v>
      </c>
      <c r="J8" t="str">
        <v>A. Cortez (Safety Officer)</v>
      </c>
      <c r="K8" t="str">
        <v>Closed</v>
      </c>
      <c r="L8" t="str">
        <v>Worker removed from area; PPE issued and toolbox talk delivered.</v>
      </c>
      <c r="M8">
        <v>25</v>
      </c>
    </row>
    <row r="9">
      <c r="A9" t="str">
        <v>EVT-008</v>
      </c>
      <c r="B9" t="str">
        <v>2025-02-17</v>
      </c>
      <c r="C9" t="str">
        <v>2025-W08</v>
      </c>
      <c r="D9" t="str">
        <v>2025-02-23</v>
      </c>
      <c r="E9" t="str">
        <v>Feb</v>
      </c>
      <c r="F9" t="str">
        <v>Housekeeping</v>
      </c>
      <c r="G9" t="str">
        <v>Access route obstructed by uncleared materials and debris.</v>
      </c>
      <c r="H9" t="str">
        <v>Cargo Building</v>
      </c>
      <c r="I9" t="str">
        <v>Medium</v>
      </c>
      <c r="J9" t="str">
        <v>M. O'Brien (HSE)</v>
      </c>
      <c r="K9" t="str">
        <v>Closed</v>
      </c>
      <c r="L9" t="str">
        <v>Access route cleared; daily housekeeping check added.</v>
      </c>
      <c r="M9">
        <v>25</v>
      </c>
    </row>
    <row r="10">
      <c r="A10" t="str">
        <v>EVT-009</v>
      </c>
      <c r="B10" t="str">
        <v>2025-02-28</v>
      </c>
      <c r="C10" t="str">
        <v>2025-W09</v>
      </c>
      <c r="D10" t="str">
        <v>2025-03-02</v>
      </c>
      <c r="E10" t="str">
        <v>Feb</v>
      </c>
      <c r="F10" t="str">
        <v>Excavation &amp; Trenching</v>
      </c>
      <c r="G10" t="str">
        <v>Unshored trench &gt;1.2m entered without protection.</v>
      </c>
      <c r="H10" t="str">
        <v>Perimeter Road</v>
      </c>
      <c r="I10" t="str">
        <v>Low</v>
      </c>
      <c r="J10" t="str">
        <v>L. Nguyen (Auditor)</v>
      </c>
      <c r="K10" t="str">
        <v>Closed</v>
      </c>
      <c r="L10" t="str">
        <v>Trench shored; excavation permit and inspection completed.</v>
      </c>
      <c r="M10">
        <v>25</v>
      </c>
    </row>
    <row r="11">
      <c r="A11" t="str">
        <v>EVT-010</v>
      </c>
      <c r="B11" t="str">
        <v>2025-02-28</v>
      </c>
      <c r="C11" t="str">
        <v>2025-W09</v>
      </c>
      <c r="D11" t="str">
        <v>2025-03-02</v>
      </c>
      <c r="E11" t="str">
        <v>Feb</v>
      </c>
      <c r="F11" t="str">
        <v>Confined Space Entry</v>
      </c>
      <c r="G11" t="str">
        <v>Entry made without gas testing and standby attendant.</v>
      </c>
      <c r="H11" t="str">
        <v>Airside Apron</v>
      </c>
      <c r="I11" t="str">
        <v>High</v>
      </c>
      <c r="J11" t="str">
        <v>A. Cortez (Safety Officer)</v>
      </c>
      <c r="K11" t="str">
        <v>Closed</v>
      </c>
      <c r="L11" t="str">
        <v>Space evacuated; gas test and standby attendant put in place.</v>
      </c>
      <c r="M11">
        <v>25</v>
      </c>
    </row>
    <row r="12">
      <c r="A12" t="str">
        <v>EVT-011</v>
      </c>
      <c r="B12" t="str">
        <v>2025-03-05</v>
      </c>
      <c r="C12" t="str">
        <v>2025-W10</v>
      </c>
      <c r="D12" t="str">
        <v>2025-03-09</v>
      </c>
      <c r="E12" t="str">
        <v>Mar</v>
      </c>
      <c r="F12" t="str">
        <v>PPE Compliance</v>
      </c>
      <c r="G12" t="str">
        <v>Worker observed without required hi-vis / hard hat in active zone.</v>
      </c>
      <c r="H12" t="str">
        <v>Airside Apron</v>
      </c>
      <c r="I12" t="str">
        <v>Low</v>
      </c>
      <c r="J12" t="str">
        <v>L. Nguyen (Auditor)</v>
      </c>
      <c r="K12" t="str">
        <v>Closed</v>
      </c>
      <c r="L12" t="str">
        <v>Worker removed from area; PPE issued and toolbox talk delivered.</v>
      </c>
      <c r="M12">
        <v>25</v>
      </c>
    </row>
    <row r="13">
      <c r="A13" t="str">
        <v>EVT-012</v>
      </c>
      <c r="B13" t="str">
        <v>2025-03-11</v>
      </c>
      <c r="C13" t="str">
        <v>2025-W11</v>
      </c>
      <c r="D13" t="str">
        <v>2025-03-16</v>
      </c>
      <c r="E13" t="str">
        <v>Mar</v>
      </c>
      <c r="F13" t="str">
        <v>Fall Protection</v>
      </c>
      <c r="G13" t="str">
        <v>Harness not anchored while working above 1.8m.</v>
      </c>
      <c r="H13" t="str">
        <v>Cargo Building</v>
      </c>
      <c r="I13" t="str">
        <v>High</v>
      </c>
      <c r="J13" t="str">
        <v>R. Patel (Site Supervisor)</v>
      </c>
      <c r="K13" t="str">
        <v>Closed</v>
      </c>
      <c r="L13" t="str">
        <v>Anchor point installed; harness inspection re-verified.</v>
      </c>
      <c r="M13">
        <v>25</v>
      </c>
    </row>
    <row r="14">
      <c r="A14" t="str">
        <v>EVT-013</v>
      </c>
      <c r="B14" t="str">
        <v>2025-03-27</v>
      </c>
      <c r="C14" t="str">
        <v>2025-W13</v>
      </c>
      <c r="D14" t="str">
        <v>2025-03-30</v>
      </c>
      <c r="E14" t="str">
        <v>Mar</v>
      </c>
      <c r="F14" t="str">
        <v>Emergency Preparedness</v>
      </c>
      <c r="G14" t="str">
        <v>Muster point signage missing at active work front.</v>
      </c>
      <c r="H14" t="str">
        <v>Cargo Building</v>
      </c>
      <c r="I14" t="str">
        <v>Low</v>
      </c>
      <c r="J14" t="str">
        <v>A. Cortez (Safety Officer)</v>
      </c>
      <c r="K14" t="str">
        <v>Closed</v>
      </c>
      <c r="L14" t="str">
        <v>Muster signage installed; emergency plan re-briefed.</v>
      </c>
      <c r="M14">
        <v>25</v>
      </c>
    </row>
    <row r="15">
      <c r="A15" t="str">
        <v>EVT-014</v>
      </c>
      <c r="B15" t="str">
        <v>2025-04-04</v>
      </c>
      <c r="C15" t="str">
        <v>2025-W14</v>
      </c>
      <c r="D15" t="str">
        <v>2025-04-06</v>
      </c>
      <c r="E15" t="str">
        <v>Apr</v>
      </c>
      <c r="F15" t="str">
        <v>PPE Compliance</v>
      </c>
      <c r="G15" t="str">
        <v>Worker observed without required hi-vis / hard hat in active zone.</v>
      </c>
      <c r="H15" t="str">
        <v>Maintenance Hangar</v>
      </c>
      <c r="I15" t="str">
        <v>Low</v>
      </c>
      <c r="J15" t="str">
        <v>L. Nguyen (Auditor)</v>
      </c>
      <c r="K15" t="str">
        <v>Closed</v>
      </c>
      <c r="L15" t="str">
        <v>Worker removed from area; PPE issued and toolbox talk delivered.</v>
      </c>
      <c r="M15">
        <v>25</v>
      </c>
    </row>
    <row r="16">
      <c r="A16" t="str">
        <v>EVT-015</v>
      </c>
      <c r="B16" t="str">
        <v>2025-04-09</v>
      </c>
      <c r="C16" t="str">
        <v>2025-W15</v>
      </c>
      <c r="D16" t="str">
        <v>2025-04-13</v>
      </c>
      <c r="E16" t="str">
        <v>Apr</v>
      </c>
      <c r="F16" t="str">
        <v>Fall Protection</v>
      </c>
      <c r="G16" t="str">
        <v>Harness not anchored while working above 1.8m.</v>
      </c>
      <c r="H16" t="str">
        <v>Airside Apron</v>
      </c>
      <c r="I16" t="str">
        <v>Low</v>
      </c>
      <c r="J16" t="str">
        <v>J. Whitman (HSE)</v>
      </c>
      <c r="K16" t="str">
        <v>Closed</v>
      </c>
      <c r="L16" t="str">
        <v>Anchor point installed; harness inspection re-verified.</v>
      </c>
      <c r="M16">
        <v>25</v>
      </c>
    </row>
    <row r="17">
      <c r="A17" t="str">
        <v>EVT-016</v>
      </c>
      <c r="B17" t="str">
        <v>2025-04-09</v>
      </c>
      <c r="C17" t="str">
        <v>2025-W15</v>
      </c>
      <c r="D17" t="str">
        <v>2025-04-13</v>
      </c>
      <c r="E17" t="str">
        <v>Apr</v>
      </c>
      <c r="F17" t="str">
        <v>Lockout / Tagout</v>
      </c>
      <c r="G17" t="str">
        <v>Isolation not applied before servicing energised equipment.</v>
      </c>
      <c r="H17" t="str">
        <v>Maintenance Hangar</v>
      </c>
      <c r="I17" t="str">
        <v>Medium</v>
      </c>
      <c r="J17" t="str">
        <v>A. Cortez (Safety Officer)</v>
      </c>
      <c r="K17" t="str">
        <v>Closed</v>
      </c>
      <c r="L17" t="str">
        <v>Equipment isolated and tagged; LOTO retraining scheduled.</v>
      </c>
      <c r="M17">
        <v>25</v>
      </c>
    </row>
    <row r="18">
      <c r="A18" t="str">
        <v>EVT-017</v>
      </c>
      <c r="B18" t="str">
        <v>2025-04-24</v>
      </c>
      <c r="C18" t="str">
        <v>2025-W17</v>
      </c>
      <c r="D18" t="str">
        <v>2025-04-27</v>
      </c>
      <c r="E18" t="str">
        <v>Apr</v>
      </c>
      <c r="F18" t="str">
        <v>Lockout / Tagout</v>
      </c>
      <c r="G18" t="str">
        <v>Isolation not applied before servicing energised equipment.</v>
      </c>
      <c r="H18" t="str">
        <v>Runway 05-23</v>
      </c>
      <c r="I18" t="str">
        <v>Low</v>
      </c>
      <c r="J18" t="str">
        <v>M. O'Brien (HSE)</v>
      </c>
      <c r="K18" t="str">
        <v>Closed</v>
      </c>
      <c r="L18" t="str">
        <v>Equipment isolated and tagged; LOTO retraining scheduled.</v>
      </c>
      <c r="M18">
        <v>25</v>
      </c>
    </row>
    <row r="19">
      <c r="A19" t="str">
        <v>EVT-018</v>
      </c>
      <c r="B19" t="str">
        <v>2025-05-02</v>
      </c>
      <c r="C19" t="str">
        <v>2025-W18</v>
      </c>
      <c r="D19" t="str">
        <v>2025-05-04</v>
      </c>
      <c r="E19" t="str">
        <v>May</v>
      </c>
      <c r="F19" t="str">
        <v>Confined Space Entry</v>
      </c>
      <c r="G19" t="str">
        <v>Entry made without gas testing and standby attendant.</v>
      </c>
      <c r="H19" t="str">
        <v>Terminal B Expansion</v>
      </c>
      <c r="I19" t="str">
        <v>High</v>
      </c>
      <c r="J19" t="str">
        <v>R. Patel (Site Supervisor)</v>
      </c>
      <c r="K19" t="str">
        <v>Closed</v>
      </c>
      <c r="L19" t="str">
        <v>Space evacuated; gas test and standby attendant put in place.</v>
      </c>
      <c r="M19">
        <v>25</v>
      </c>
    </row>
    <row r="20">
      <c r="A20" t="str">
        <v>EVT-019</v>
      </c>
      <c r="B20" t="str">
        <v>2025-05-15</v>
      </c>
      <c r="C20" t="str">
        <v>2025-W20</v>
      </c>
      <c r="D20" t="str">
        <v>2025-05-18</v>
      </c>
      <c r="E20" t="str">
        <v>May</v>
      </c>
      <c r="F20" t="str">
        <v>Emergency Preparedness</v>
      </c>
      <c r="G20" t="str">
        <v>Muster point signage missing at active work front.</v>
      </c>
      <c r="H20" t="str">
        <v>Fuel Farm</v>
      </c>
      <c r="I20" t="str">
        <v>Medium</v>
      </c>
      <c r="J20" t="str">
        <v>A. Cortez (Safety Officer)</v>
      </c>
      <c r="K20" t="str">
        <v>Closed</v>
      </c>
      <c r="L20" t="str">
        <v>Muster signage installed; emergency plan re-briefed.</v>
      </c>
      <c r="M20">
        <v>25</v>
      </c>
    </row>
    <row r="21">
      <c r="A21" t="str">
        <v>EVT-020</v>
      </c>
      <c r="B21" t="str">
        <v>2025-05-20</v>
      </c>
      <c r="C21" t="str">
        <v>2025-W21</v>
      </c>
      <c r="D21" t="str">
        <v>2025-05-25</v>
      </c>
      <c r="E21" t="str">
        <v>May</v>
      </c>
      <c r="F21" t="str">
        <v>PPE Compliance</v>
      </c>
      <c r="G21" t="str">
        <v>Worker observed without required hi-vis / hard hat in active zone.</v>
      </c>
      <c r="H21" t="str">
        <v>Fuel Farm</v>
      </c>
      <c r="I21" t="str">
        <v>Low</v>
      </c>
      <c r="J21" t="str">
        <v>L. Nguyen (Auditor)</v>
      </c>
      <c r="K21" t="str">
        <v>Closed</v>
      </c>
      <c r="L21" t="str">
        <v>Worker removed from area; PPE issued and toolbox talk delivered.</v>
      </c>
      <c r="M21">
        <v>25</v>
      </c>
    </row>
    <row r="22">
      <c r="A22" t="str">
        <v>EVT-021</v>
      </c>
      <c r="B22" t="str">
        <v>2025-06-04</v>
      </c>
      <c r="C22" t="str">
        <v>2025-W23</v>
      </c>
      <c r="D22" t="str">
        <v>2025-06-08</v>
      </c>
      <c r="E22" t="str">
        <v>Jun</v>
      </c>
      <c r="F22" t="str">
        <v>Emergency Preparedness</v>
      </c>
      <c r="G22" t="str">
        <v>Muster point signage missing at active work front.</v>
      </c>
      <c r="H22" t="str">
        <v>Airside Apron</v>
      </c>
      <c r="I22" t="str">
        <v>High</v>
      </c>
      <c r="J22" t="str">
        <v>R. Patel (Site Supervisor)</v>
      </c>
      <c r="K22" t="str">
        <v>Closed</v>
      </c>
      <c r="L22" t="str">
        <v>Muster signage installed; emergency plan re-briefed.</v>
      </c>
      <c r="M22">
        <v>25</v>
      </c>
    </row>
    <row r="23">
      <c r="A23" t="str">
        <v>EVT-022</v>
      </c>
      <c r="B23" t="str">
        <v>2025-06-09</v>
      </c>
      <c r="C23" t="str">
        <v>2025-W24</v>
      </c>
      <c r="D23" t="str">
        <v>2025-06-15</v>
      </c>
      <c r="E23" t="str">
        <v>Jun</v>
      </c>
      <c r="F23" t="str">
        <v>Vehicle &amp; Equipment</v>
      </c>
      <c r="G23" t="str">
        <v>Reversing plant operated without a trained banksman.</v>
      </c>
      <c r="H23" t="str">
        <v>Airside Apron</v>
      </c>
      <c r="I23" t="str">
        <v>High</v>
      </c>
      <c r="J23" t="str">
        <v>M. O'Brien (HSE)</v>
      </c>
      <c r="K23" t="str">
        <v>Closed</v>
      </c>
      <c r="L23" t="str">
        <v>Trained banksman assigned; traffic management plan reissued.</v>
      </c>
      <c r="M23">
        <v>25</v>
      </c>
    </row>
    <row r="24">
      <c r="A24" t="str">
        <v>EVT-023</v>
      </c>
      <c r="B24" t="str">
        <v>2025-06-26</v>
      </c>
      <c r="C24" t="str">
        <v>2025-W26</v>
      </c>
      <c r="D24" t="str">
        <v>2025-06-29</v>
      </c>
      <c r="E24" t="str">
        <v>Jun</v>
      </c>
      <c r="F24" t="str">
        <v>Confined Space Entry</v>
      </c>
      <c r="G24" t="str">
        <v>Entry made without gas testing and standby attendant.</v>
      </c>
      <c r="H24" t="str">
        <v>Maintenance Hangar</v>
      </c>
      <c r="I24" t="str">
        <v>Medium</v>
      </c>
      <c r="J24" t="str">
        <v>J. Whitman (HSE)</v>
      </c>
      <c r="K24" t="str">
        <v>Closed</v>
      </c>
      <c r="L24" t="str">
        <v>Space evacuated; gas test and standby attendant put in place.</v>
      </c>
      <c r="M24">
        <v>25</v>
      </c>
    </row>
    <row r="25">
      <c r="A25" t="str">
        <v>EVT-024</v>
      </c>
      <c r="B25" t="str">
        <v>2025-07-07</v>
      </c>
      <c r="C25" t="str">
        <v>2025-W28</v>
      </c>
      <c r="D25" t="str">
        <v>2025-07-13</v>
      </c>
      <c r="E25" t="str">
        <v>Jul</v>
      </c>
      <c r="F25" t="str">
        <v>Confined Space Entry</v>
      </c>
      <c r="G25" t="str">
        <v>Entry made without gas testing and standby attendant.</v>
      </c>
      <c r="H25" t="str">
        <v>Runway 05-23</v>
      </c>
      <c r="I25" t="str">
        <v>High</v>
      </c>
      <c r="J25" t="str">
        <v>R. Patel (Site Supervisor)</v>
      </c>
      <c r="K25" t="str">
        <v>Closed</v>
      </c>
      <c r="L25" t="str">
        <v>Space evacuated; gas test and standby attendant put in place.</v>
      </c>
      <c r="M25">
        <v>25</v>
      </c>
    </row>
    <row r="26">
      <c r="A26" t="str">
        <v>EVT-025</v>
      </c>
      <c r="B26" t="str">
        <v>2025-07-21</v>
      </c>
      <c r="C26" t="str">
        <v>2025-W30</v>
      </c>
      <c r="D26" t="str">
        <v>2025-07-27</v>
      </c>
      <c r="E26" t="str">
        <v>Jul</v>
      </c>
      <c r="F26" t="str">
        <v>PPE Compliance</v>
      </c>
      <c r="G26" t="str">
        <v>Worker observed without required hi-vis / hard hat in active zone.</v>
      </c>
      <c r="H26" t="str">
        <v>Fuel Farm</v>
      </c>
      <c r="I26" t="str">
        <v>High</v>
      </c>
      <c r="J26" t="str">
        <v>J. Whitman (HSE)</v>
      </c>
      <c r="K26" t="str">
        <v>Closed</v>
      </c>
      <c r="L26" t="str">
        <v>Worker removed from area; PPE issued and toolbox talk delivered.</v>
      </c>
      <c r="M26">
        <v>25</v>
      </c>
    </row>
  </sheetData>
  <ignoredErrors>
    <ignoredError numberStoredAsText="1" sqref="A1:M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Reporting Week</v>
      </c>
      <c r="B1" t="str">
        <v>Week Ending</v>
      </c>
      <c r="C1" t="str">
        <v>Events</v>
      </c>
      <c r="D1" t="str">
        <v>Damage Points</v>
      </c>
      <c r="E1" t="str">
        <v>Result vs Target</v>
      </c>
    </row>
    <row r="2">
      <c r="A2" t="str">
        <v>2025-W02</v>
      </c>
      <c r="B2" t="str">
        <v>2025-01-12</v>
      </c>
      <c r="C2">
        <v>2</v>
      </c>
      <c r="D2">
        <v>50</v>
      </c>
      <c r="E2" t="str">
        <v>Fail</v>
      </c>
    </row>
    <row r="3">
      <c r="A3" t="str">
        <v>2025-W03</v>
      </c>
      <c r="B3" t="str">
        <v>2025-01-19</v>
      </c>
      <c r="C3">
        <v>1</v>
      </c>
      <c r="D3">
        <v>25</v>
      </c>
      <c r="E3" t="str">
        <v>Fail</v>
      </c>
    </row>
    <row r="4">
      <c r="A4" t="str">
        <v>2025-W04</v>
      </c>
      <c r="B4" t="str">
        <v>2025-01-26</v>
      </c>
      <c r="C4">
        <v>1</v>
      </c>
      <c r="D4">
        <v>25</v>
      </c>
      <c r="E4" t="str">
        <v>Fail</v>
      </c>
    </row>
    <row r="5">
      <c r="A5" t="str">
        <v>2025-W05</v>
      </c>
      <c r="B5" t="str">
        <v>2025-02-02</v>
      </c>
      <c r="C5">
        <v>2</v>
      </c>
      <c r="D5">
        <v>50</v>
      </c>
      <c r="E5" t="str">
        <v>Fail</v>
      </c>
    </row>
    <row r="6">
      <c r="A6" t="str">
        <v>2025-W06</v>
      </c>
      <c r="B6" t="str">
        <v>2025-02-09</v>
      </c>
      <c r="C6">
        <v>1</v>
      </c>
      <c r="D6">
        <v>25</v>
      </c>
      <c r="E6" t="str">
        <v>Fail</v>
      </c>
    </row>
    <row r="7">
      <c r="A7" t="str">
        <v>2025-W08</v>
      </c>
      <c r="B7" t="str">
        <v>2025-02-23</v>
      </c>
      <c r="C7">
        <v>1</v>
      </c>
      <c r="D7">
        <v>25</v>
      </c>
      <c r="E7" t="str">
        <v>Fail</v>
      </c>
    </row>
    <row r="8">
      <c r="A8" t="str">
        <v>2025-W09</v>
      </c>
      <c r="B8" t="str">
        <v>2025-03-02</v>
      </c>
      <c r="C8">
        <v>2</v>
      </c>
      <c r="D8">
        <v>50</v>
      </c>
      <c r="E8" t="str">
        <v>Fail</v>
      </c>
    </row>
    <row r="9">
      <c r="A9" t="str">
        <v>2025-W10</v>
      </c>
      <c r="B9" t="str">
        <v>2025-03-09</v>
      </c>
      <c r="C9">
        <v>1</v>
      </c>
      <c r="D9">
        <v>25</v>
      </c>
      <c r="E9" t="str">
        <v>Fail</v>
      </c>
    </row>
    <row r="10">
      <c r="A10" t="str">
        <v>2025-W11</v>
      </c>
      <c r="B10" t="str">
        <v>2025-03-16</v>
      </c>
      <c r="C10">
        <v>1</v>
      </c>
      <c r="D10">
        <v>25</v>
      </c>
      <c r="E10" t="str">
        <v>Fail</v>
      </c>
    </row>
    <row r="11">
      <c r="A11" t="str">
        <v>2025-W13</v>
      </c>
      <c r="B11" t="str">
        <v>2025-03-30</v>
      </c>
      <c r="C11">
        <v>1</v>
      </c>
      <c r="D11">
        <v>25</v>
      </c>
      <c r="E11" t="str">
        <v>Fail</v>
      </c>
    </row>
    <row r="12">
      <c r="A12" t="str">
        <v>2025-W14</v>
      </c>
      <c r="B12" t="str">
        <v>2025-04-06</v>
      </c>
      <c r="C12">
        <v>1</v>
      </c>
      <c r="D12">
        <v>25</v>
      </c>
      <c r="E12" t="str">
        <v>Fail</v>
      </c>
    </row>
    <row r="13">
      <c r="A13" t="str">
        <v>2025-W15</v>
      </c>
      <c r="B13" t="str">
        <v>2025-04-13</v>
      </c>
      <c r="C13">
        <v>2</v>
      </c>
      <c r="D13">
        <v>50</v>
      </c>
      <c r="E13" t="str">
        <v>Fail</v>
      </c>
    </row>
    <row r="14">
      <c r="A14" t="str">
        <v>2025-W17</v>
      </c>
      <c r="B14" t="str">
        <v>2025-04-27</v>
      </c>
      <c r="C14">
        <v>1</v>
      </c>
      <c r="D14">
        <v>25</v>
      </c>
      <c r="E14" t="str">
        <v>Fail</v>
      </c>
    </row>
    <row r="15">
      <c r="A15" t="str">
        <v>2025-W18</v>
      </c>
      <c r="B15" t="str">
        <v>2025-05-04</v>
      </c>
      <c r="C15">
        <v>1</v>
      </c>
      <c r="D15">
        <v>25</v>
      </c>
      <c r="E15" t="str">
        <v>Fail</v>
      </c>
    </row>
    <row r="16">
      <c r="A16" t="str">
        <v>2025-W20</v>
      </c>
      <c r="B16" t="str">
        <v>2025-05-18</v>
      </c>
      <c r="C16">
        <v>1</v>
      </c>
      <c r="D16">
        <v>25</v>
      </c>
      <c r="E16" t="str">
        <v>Fail</v>
      </c>
    </row>
    <row r="17">
      <c r="A17" t="str">
        <v>2025-W21</v>
      </c>
      <c r="B17" t="str">
        <v>2025-05-25</v>
      </c>
      <c r="C17">
        <v>1</v>
      </c>
      <c r="D17">
        <v>25</v>
      </c>
      <c r="E17" t="str">
        <v>Fail</v>
      </c>
    </row>
    <row r="18">
      <c r="A18" t="str">
        <v>2025-W23</v>
      </c>
      <c r="B18" t="str">
        <v>2025-06-08</v>
      </c>
      <c r="C18">
        <v>1</v>
      </c>
      <c r="D18">
        <v>25</v>
      </c>
      <c r="E18" t="str">
        <v>Fail</v>
      </c>
    </row>
    <row r="19">
      <c r="A19" t="str">
        <v>2025-W24</v>
      </c>
      <c r="B19" t="str">
        <v>2025-06-15</v>
      </c>
      <c r="C19">
        <v>1</v>
      </c>
      <c r="D19">
        <v>25</v>
      </c>
      <c r="E19" t="str">
        <v>Fail</v>
      </c>
    </row>
    <row r="20">
      <c r="A20" t="str">
        <v>2025-W26</v>
      </c>
      <c r="B20" t="str">
        <v>2025-06-29</v>
      </c>
      <c r="C20">
        <v>1</v>
      </c>
      <c r="D20">
        <v>25</v>
      </c>
      <c r="E20" t="str">
        <v>Fail</v>
      </c>
    </row>
    <row r="21">
      <c r="A21" t="str">
        <v>2025-W28</v>
      </c>
      <c r="B21" t="str">
        <v>2025-07-13</v>
      </c>
      <c r="C21">
        <v>1</v>
      </c>
      <c r="D21">
        <v>25</v>
      </c>
      <c r="E21" t="str">
        <v>Fail</v>
      </c>
    </row>
    <row r="22">
      <c r="A22" t="str">
        <v>2025-W30</v>
      </c>
      <c r="B22" t="str">
        <v>2025-07-27</v>
      </c>
      <c r="C22">
        <v>1</v>
      </c>
      <c r="D22">
        <v>25</v>
      </c>
      <c r="E22" t="str">
        <v>Fail</v>
      </c>
    </row>
  </sheetData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Month</v>
      </c>
      <c r="B1" t="str">
        <v>Events</v>
      </c>
      <c r="C1" t="str">
        <v>Damage Points</v>
      </c>
      <c r="D1" t="str">
        <v>Result vs Target</v>
      </c>
    </row>
    <row r="2">
      <c r="A2" t="str">
        <v>Jan 2025</v>
      </c>
      <c r="B2">
        <v>6</v>
      </c>
      <c r="C2">
        <v>150</v>
      </c>
      <c r="D2" t="str">
        <v>Fail</v>
      </c>
    </row>
    <row r="3">
      <c r="A3" t="str">
        <v>Feb 2025</v>
      </c>
      <c r="B3">
        <v>4</v>
      </c>
      <c r="C3">
        <v>100</v>
      </c>
      <c r="D3" t="str">
        <v>Fail</v>
      </c>
    </row>
    <row r="4">
      <c r="A4" t="str">
        <v>Mar 2025</v>
      </c>
      <c r="B4">
        <v>3</v>
      </c>
      <c r="C4">
        <v>75</v>
      </c>
      <c r="D4" t="str">
        <v>Fail</v>
      </c>
    </row>
    <row r="5">
      <c r="A5" t="str">
        <v>Apr 2025</v>
      </c>
      <c r="B5">
        <v>4</v>
      </c>
      <c r="C5">
        <v>100</v>
      </c>
      <c r="D5" t="str">
        <v>Fail</v>
      </c>
    </row>
    <row r="6">
      <c r="A6" t="str">
        <v>May 2025</v>
      </c>
      <c r="B6">
        <v>3</v>
      </c>
      <c r="C6">
        <v>75</v>
      </c>
      <c r="D6" t="str">
        <v>Fail</v>
      </c>
    </row>
    <row r="7">
      <c r="A7" t="str">
        <v>Jun 2025</v>
      </c>
      <c r="B7">
        <v>3</v>
      </c>
      <c r="C7">
        <v>75</v>
      </c>
      <c r="D7" t="str">
        <v>Fail</v>
      </c>
    </row>
    <row r="8">
      <c r="A8" t="str">
        <v>Jul 2025</v>
      </c>
      <c r="B8">
        <v>2</v>
      </c>
      <c r="C8">
        <v>50</v>
      </c>
      <c r="D8" t="str">
        <v>Fail</v>
      </c>
    </row>
    <row r="9">
      <c r="A9" t="str">
        <v>Aug 2025</v>
      </c>
      <c r="B9">
        <v>0</v>
      </c>
      <c r="C9">
        <v>0</v>
      </c>
      <c r="D9" t="str">
        <v>Target Met</v>
      </c>
    </row>
    <row r="10">
      <c r="A10" t="str">
        <v>Sep 2025</v>
      </c>
      <c r="B10">
        <v>0</v>
      </c>
      <c r="C10">
        <v>0</v>
      </c>
      <c r="D10" t="str">
        <v>Target Met</v>
      </c>
    </row>
    <row r="11">
      <c r="A11" t="str">
        <v>Oct 2025</v>
      </c>
      <c r="B11">
        <v>0</v>
      </c>
      <c r="C11">
        <v>0</v>
      </c>
      <c r="D11" t="str">
        <v>Target Met</v>
      </c>
    </row>
    <row r="12">
      <c r="A12" t="str">
        <v>Nov 2025</v>
      </c>
      <c r="B12">
        <v>0</v>
      </c>
      <c r="C12">
        <v>0</v>
      </c>
      <c r="D12" t="str">
        <v>Target Met</v>
      </c>
    </row>
    <row r="13">
      <c r="A13" t="str">
        <v>Dec 2025</v>
      </c>
      <c r="B13">
        <v>0</v>
      </c>
      <c r="C13">
        <v>0</v>
      </c>
      <c r="D13" t="str">
        <v>Target Met</v>
      </c>
    </row>
  </sheetData>
  <ignoredErrors>
    <ignoredError numberStoredAsText="1" sqref="A1:D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4.83203125" customWidth="1"/>
    <col min="2" max="2" width="20.83203125" customWidth="1"/>
  </cols>
  <sheetData>
    <row r="1">
      <c r="A1" t="str">
        <v>KPI-17 — Summary</v>
      </c>
    </row>
    <row r="2">
      <c r="A2" t="str">
        <v>Metric</v>
      </c>
      <c r="B2" t="str">
        <v>Value</v>
      </c>
    </row>
    <row r="3">
      <c r="A3" t="str">
        <v>Total Records</v>
      </c>
      <c r="B3" t="e">
        <f>COUNTA('Events'!A2:A26)</f>
      </c>
    </row>
    <row r="4">
      <c r="A4" t="str">
        <v>Total Damage Points</v>
      </c>
      <c r="B4" t="e">
        <f>SUM('Events'!M2:M26)</f>
      </c>
    </row>
    <row r="5">
      <c r="A5" t="str">
        <v>Avg Damage / Record</v>
      </c>
      <c r="B5" t="e">
        <f>IFERROR(AVERAGE('Events'!M2:M26),0)</f>
      </c>
    </row>
    <row r="6">
      <c r="A6" t="str">
        <v>Records With Damage</v>
      </c>
      <c r="B6" t="e">
        <f>COUNTIF('Events'!M2:M26,"&gt;0")</f>
      </c>
    </row>
    <row r="7">
      <c r="A7" t="str">
        <v>Fail / Breach Count</v>
      </c>
      <c r="B7" t="e">
        <f>COUNTIF('Events'!K2:K26,"*ail*")+COUNTIF('Events'!K2:K26,"*reach*")</f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KPI Definition</vt:lpstr>
      <vt:lpstr>Instructions</vt:lpstr>
      <vt:lpstr>Events</vt:lpstr>
      <vt:lpstr>Weekly Summary</vt:lpstr>
      <vt:lpstr>Monthly Summary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