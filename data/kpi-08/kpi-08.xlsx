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Patrol ID</v>
      </c>
      <c r="B1" t="str">
        <v>Date</v>
      </c>
      <c r="C1" t="str">
        <v>Month</v>
      </c>
      <c r="D1" t="str">
        <v>Site</v>
      </c>
      <c r="E1" t="str">
        <v>Scheduled</v>
      </c>
      <c r="F1" t="str">
        <v>Completed</v>
      </c>
      <c r="G1" t="str">
        <v>Outcome</v>
      </c>
      <c r="H1" t="str">
        <v>Compliance Rate</v>
      </c>
    </row>
    <row r="2">
      <c r="A2" t="str">
        <v>PAT-0001</v>
      </c>
      <c r="B2" t="str">
        <v>2025-07-16</v>
      </c>
      <c r="C2" t="str">
        <v>Aug</v>
      </c>
      <c r="D2" t="str">
        <v>North Gate</v>
      </c>
      <c r="E2">
        <v>74</v>
      </c>
      <c r="F2">
        <v>67</v>
      </c>
      <c r="G2" t="str">
        <v>Missed</v>
      </c>
      <c r="H2">
        <v>90.5</v>
      </c>
    </row>
    <row r="3">
      <c r="A3" t="str">
        <v>PAT-0002</v>
      </c>
      <c r="B3" t="str">
        <v>2025-07-31</v>
      </c>
      <c r="C3" t="str">
        <v>Sep</v>
      </c>
      <c r="D3" t="str">
        <v>South Perimeter</v>
      </c>
      <c r="E3">
        <v>71</v>
      </c>
      <c r="F3">
        <v>58</v>
      </c>
      <c r="G3" t="str">
        <v>Completed on time</v>
      </c>
      <c r="H3">
        <v>81.7</v>
      </c>
    </row>
    <row r="4">
      <c r="A4" t="str">
        <v>PAT-0003</v>
      </c>
      <c r="B4" t="str">
        <v>2025-08-12</v>
      </c>
      <c r="C4" t="str">
        <v>Oct</v>
      </c>
      <c r="D4" t="str">
        <v>Warehouse A</v>
      </c>
      <c r="E4">
        <v>92</v>
      </c>
      <c r="F4">
        <v>79</v>
      </c>
      <c r="G4" t="str">
        <v>Missed</v>
      </c>
      <c r="H4">
        <v>85.9</v>
      </c>
    </row>
    <row r="5">
      <c r="A5" t="str">
        <v>PAT-0004</v>
      </c>
      <c r="B5" t="str">
        <v>2025-08-25</v>
      </c>
      <c r="C5" t="str">
        <v>Nov</v>
      </c>
      <c r="D5" t="str">
        <v>Warehouse B</v>
      </c>
      <c r="E5">
        <v>72</v>
      </c>
      <c r="F5">
        <v>52</v>
      </c>
      <c r="G5" t="str">
        <v>Missed</v>
      </c>
      <c r="H5">
        <v>72.2</v>
      </c>
    </row>
    <row r="6">
      <c r="A6" t="str">
        <v>PAT-0005</v>
      </c>
      <c r="B6" t="str">
        <v>2025-09-07</v>
      </c>
      <c r="C6" t="str">
        <v>Dec</v>
      </c>
      <c r="D6" t="str">
        <v>Loading Bay</v>
      </c>
      <c r="E6">
        <v>75</v>
      </c>
      <c r="F6">
        <v>59</v>
      </c>
      <c r="G6" t="str">
        <v>Completed late</v>
      </c>
      <c r="H6">
        <v>78.7</v>
      </c>
    </row>
    <row r="7">
      <c r="A7" t="str">
        <v>PAT-0006</v>
      </c>
      <c r="B7" t="str">
        <v>2025-09-24</v>
      </c>
      <c r="C7" t="str">
        <v>Jan</v>
      </c>
      <c r="D7" t="str">
        <v>Admin Block</v>
      </c>
      <c r="E7">
        <v>97</v>
      </c>
      <c r="F7">
        <v>77</v>
      </c>
      <c r="G7" t="str">
        <v>Completed on time</v>
      </c>
      <c r="H7">
        <v>79.4</v>
      </c>
    </row>
    <row r="8">
      <c r="A8" t="str">
        <v>PAT-0007</v>
      </c>
      <c r="B8" t="str">
        <v>2025-10-07</v>
      </c>
      <c r="C8" t="str">
        <v>Feb</v>
      </c>
      <c r="D8" t="str">
        <v>Data Centre</v>
      </c>
      <c r="E8">
        <v>76</v>
      </c>
      <c r="F8">
        <v>65</v>
      </c>
      <c r="G8" t="str">
        <v>Completed on time</v>
      </c>
      <c r="H8">
        <v>85.5</v>
      </c>
    </row>
    <row r="9">
      <c r="A9" t="str">
        <v>PAT-0008</v>
      </c>
      <c r="B9" t="str">
        <v>2025-10-23</v>
      </c>
      <c r="C9" t="str">
        <v>Mar</v>
      </c>
      <c r="D9" t="str">
        <v>Car Park East</v>
      </c>
      <c r="E9">
        <v>84</v>
      </c>
      <c r="F9">
        <v>61</v>
      </c>
      <c r="G9" t="str">
        <v>Completed late</v>
      </c>
      <c r="H9">
        <v>72.6</v>
      </c>
    </row>
    <row r="10">
      <c r="A10" t="str">
        <v>PAT-0009</v>
      </c>
      <c r="B10" t="str">
        <v>2025-11-05</v>
      </c>
      <c r="C10" t="str">
        <v>Apr</v>
      </c>
      <c r="D10" t="str">
        <v>Car Park West</v>
      </c>
      <c r="E10">
        <v>98</v>
      </c>
      <c r="F10">
        <v>69</v>
      </c>
      <c r="G10" t="str">
        <v>Completed late</v>
      </c>
      <c r="H10">
        <v>70.4</v>
      </c>
    </row>
    <row r="11">
      <c r="A11" t="str">
        <v>PAT-0010</v>
      </c>
      <c r="B11" t="str">
        <v>2025-11-20</v>
      </c>
      <c r="C11" t="str">
        <v>May</v>
      </c>
      <c r="D11" t="str">
        <v>North Gate</v>
      </c>
      <c r="E11">
        <v>77</v>
      </c>
      <c r="F11">
        <v>59</v>
      </c>
      <c r="G11" t="str">
        <v>Completed on time</v>
      </c>
      <c r="H11">
        <v>76.6</v>
      </c>
    </row>
    <row r="12">
      <c r="A12" t="str">
        <v>PAT-0011</v>
      </c>
      <c r="B12" t="str">
        <v>2025-12-07</v>
      </c>
      <c r="C12" t="str">
        <v>Jun</v>
      </c>
      <c r="D12" t="str">
        <v>South Perimeter</v>
      </c>
      <c r="E12">
        <v>93</v>
      </c>
      <c r="F12">
        <v>70</v>
      </c>
      <c r="G12" t="str">
        <v>Completed late</v>
      </c>
      <c r="H12">
        <v>75.3</v>
      </c>
    </row>
    <row r="13">
      <c r="A13" t="str">
        <v>PAT-0012</v>
      </c>
      <c r="B13" t="str">
        <v>2025-12-19</v>
      </c>
      <c r="C13" t="str">
        <v>Jul</v>
      </c>
      <c r="D13" t="str">
        <v>Warehouse A</v>
      </c>
      <c r="E13">
        <v>74</v>
      </c>
      <c r="F13">
        <v>56</v>
      </c>
      <c r="G13" t="str">
        <v>Completed on time</v>
      </c>
      <c r="H13">
        <v>75.7</v>
      </c>
    </row>
    <row r="14">
      <c r="A14" t="str">
        <v>PAT-0013</v>
      </c>
      <c r="B14" t="str">
        <v>2026-01-01</v>
      </c>
      <c r="C14" t="str">
        <v>Aug</v>
      </c>
      <c r="D14" t="str">
        <v>Warehouse B</v>
      </c>
      <c r="E14">
        <v>90</v>
      </c>
      <c r="F14">
        <v>81</v>
      </c>
      <c r="G14" t="str">
        <v>Completed on time</v>
      </c>
      <c r="H14">
        <v>90</v>
      </c>
    </row>
    <row r="15">
      <c r="A15" t="str">
        <v>PAT-0014</v>
      </c>
      <c r="B15" t="str">
        <v>2026-01-13</v>
      </c>
      <c r="C15" t="str">
        <v>Sep</v>
      </c>
      <c r="D15" t="str">
        <v>Loading Bay</v>
      </c>
      <c r="E15">
        <v>99</v>
      </c>
      <c r="F15">
        <v>93</v>
      </c>
      <c r="G15" t="str">
        <v>Completed on time</v>
      </c>
      <c r="H15">
        <v>93.9</v>
      </c>
    </row>
    <row r="16">
      <c r="A16" t="str">
        <v>PAT-0015</v>
      </c>
      <c r="B16" t="str">
        <v>2026-01-28</v>
      </c>
      <c r="C16" t="str">
        <v>Oct</v>
      </c>
      <c r="D16" t="str">
        <v>Admin Block</v>
      </c>
      <c r="E16">
        <v>74</v>
      </c>
      <c r="F16">
        <v>57</v>
      </c>
      <c r="G16" t="str">
        <v>Missed</v>
      </c>
      <c r="H16">
        <v>77</v>
      </c>
    </row>
    <row r="17">
      <c r="A17" t="str">
        <v>PAT-0016</v>
      </c>
      <c r="B17" t="str">
        <v>2026-02-12</v>
      </c>
      <c r="C17" t="str">
        <v>Nov</v>
      </c>
      <c r="D17" t="str">
        <v>Data Centre</v>
      </c>
      <c r="E17">
        <v>68</v>
      </c>
      <c r="F17">
        <v>48</v>
      </c>
      <c r="G17" t="str">
        <v>Completed late</v>
      </c>
      <c r="H17">
        <v>70.6</v>
      </c>
    </row>
    <row r="18">
      <c r="A18" t="str">
        <v>PAT-0017</v>
      </c>
      <c r="B18" t="str">
        <v>2026-02-24</v>
      </c>
      <c r="C18" t="str">
        <v>Dec</v>
      </c>
      <c r="D18" t="str">
        <v>Car Park East</v>
      </c>
      <c r="E18">
        <v>65</v>
      </c>
      <c r="F18">
        <v>62</v>
      </c>
      <c r="G18" t="str">
        <v>Completed late</v>
      </c>
      <c r="H18">
        <v>95.4</v>
      </c>
    </row>
    <row r="19">
      <c r="A19" t="str">
        <v>PAT-0018</v>
      </c>
      <c r="B19" t="str">
        <v>2026-03-13</v>
      </c>
      <c r="C19" t="str">
        <v>Jan</v>
      </c>
      <c r="D19" t="str">
        <v>Car Park West</v>
      </c>
      <c r="E19">
        <v>92</v>
      </c>
      <c r="F19">
        <v>81</v>
      </c>
      <c r="G19" t="str">
        <v>Missed</v>
      </c>
      <c r="H19">
        <v>88</v>
      </c>
    </row>
    <row r="20">
      <c r="A20" t="str">
        <v>PAT-0019</v>
      </c>
      <c r="B20" t="str">
        <v>2026-03-28</v>
      </c>
      <c r="C20" t="str">
        <v>Feb</v>
      </c>
      <c r="D20" t="str">
        <v>North Gate</v>
      </c>
      <c r="E20">
        <v>86</v>
      </c>
      <c r="F20">
        <v>66</v>
      </c>
      <c r="G20" t="str">
        <v>Completed on time</v>
      </c>
      <c r="H20">
        <v>76.7</v>
      </c>
    </row>
    <row r="21">
      <c r="A21" t="str">
        <v>PAT-0020</v>
      </c>
      <c r="B21" t="str">
        <v>2026-04-12</v>
      </c>
      <c r="C21" t="str">
        <v>Mar</v>
      </c>
      <c r="D21" t="str">
        <v>South Perimeter</v>
      </c>
      <c r="E21">
        <v>77</v>
      </c>
      <c r="F21">
        <v>62</v>
      </c>
      <c r="G21" t="str">
        <v>Completed on time</v>
      </c>
      <c r="H21">
        <v>80.5</v>
      </c>
    </row>
    <row r="22">
      <c r="A22" t="str">
        <v>PAT-0021</v>
      </c>
      <c r="B22" t="str">
        <v>2026-04-28</v>
      </c>
      <c r="C22" t="str">
        <v>Apr</v>
      </c>
      <c r="D22" t="str">
        <v>Warehouse A</v>
      </c>
      <c r="E22">
        <v>95</v>
      </c>
      <c r="F22">
        <v>90</v>
      </c>
      <c r="G22" t="str">
        <v>Completed on time</v>
      </c>
      <c r="H22">
        <v>94.7</v>
      </c>
    </row>
    <row r="23">
      <c r="A23" t="str">
        <v>PAT-0022</v>
      </c>
      <c r="B23" t="str">
        <v>2026-05-10</v>
      </c>
      <c r="C23" t="str">
        <v>May</v>
      </c>
      <c r="D23" t="str">
        <v>Warehouse B</v>
      </c>
      <c r="E23">
        <v>98</v>
      </c>
      <c r="F23">
        <v>86</v>
      </c>
      <c r="G23" t="str">
        <v>Completed late</v>
      </c>
      <c r="H23">
        <v>87.8</v>
      </c>
    </row>
    <row r="24">
      <c r="A24" t="str">
        <v>PAT-0023</v>
      </c>
      <c r="B24" t="str">
        <v>2026-05-27</v>
      </c>
      <c r="C24" t="str">
        <v>Jun</v>
      </c>
      <c r="D24" t="str">
        <v>Loading Bay</v>
      </c>
      <c r="E24">
        <v>76</v>
      </c>
      <c r="F24">
        <v>55</v>
      </c>
      <c r="G24" t="str">
        <v>Completed on time</v>
      </c>
      <c r="H24">
        <v>72.4</v>
      </c>
    </row>
    <row r="25">
      <c r="A25" t="str">
        <v>PAT-0024</v>
      </c>
      <c r="B25" t="str">
        <v>2026-06-11</v>
      </c>
      <c r="C25" t="str">
        <v>Jul</v>
      </c>
      <c r="D25" t="str">
        <v>Admin Block</v>
      </c>
      <c r="E25">
        <v>69</v>
      </c>
      <c r="F25">
        <v>55</v>
      </c>
      <c r="G25" t="str">
        <v>Completed on time</v>
      </c>
      <c r="H25">
        <v>79.7</v>
      </c>
    </row>
    <row r="26">
      <c r="A26" t="str">
        <v>PAT-0025</v>
      </c>
      <c r="B26" t="str">
        <v>2026-06-24</v>
      </c>
      <c r="C26" t="str">
        <v>Aug</v>
      </c>
      <c r="D26" t="str">
        <v>Data Centre</v>
      </c>
      <c r="E26">
        <v>63</v>
      </c>
      <c r="F26">
        <v>60</v>
      </c>
      <c r="G26" t="str">
        <v>Missed</v>
      </c>
      <c r="H26">
        <v>95.2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KPI-08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COUNTA('Data'!A2:A26)</f>
      </c>
    </row>
    <row r="4">
      <c r="A4" t="str">
        <v>Total Scheduled</v>
      </c>
      <c r="B4" t="e">
        <f>SUM('Data'!E2:E26)</f>
      </c>
    </row>
    <row r="5">
      <c r="A5" t="str">
        <v>Total Completed</v>
      </c>
      <c r="B5" t="e">
        <f>SUM('Data'!F2:F26)</f>
      </c>
    </row>
    <row r="6">
      <c r="A6" t="str">
        <v>Overall Compliance %</v>
      </c>
      <c r="B6" t="e">
        <f>ROUND(SUM('Data'!F2:F26)/SUM('Data'!E2:E26)*100,1)</f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