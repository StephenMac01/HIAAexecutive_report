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Summary" sheetId="1" r:id="rId1"/>
    <sheet name="Monthly Incidents" sheetId="2" r:id="rId2"/>
    <sheet name="Incident Log" sheetId="3" r:id="rId3"/>
    <sheet name="Category Breakdown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KPI ID</v>
      </c>
      <c r="B1" t="str">
        <v>KPI-07</v>
      </c>
    </row>
    <row r="2">
      <c r="A2" t="str">
        <v>Title</v>
      </c>
      <c r="B2" t="str">
        <v>Regulatory/TC Infraction or Security Incident</v>
      </c>
    </row>
    <row r="3">
      <c r="A3" t="str">
        <v>Calculation</v>
      </c>
      <c r="B3" t="str">
        <v>The Contractor, through the negligent acts or omissions of its personnel, or through a material failure to comply with applicable post orders, regulatory requirements, or HIAA security procedures, either failed to accurately document or materially contributed to unauthorized access into a restricted area.</v>
      </c>
    </row>
    <row r="5">
      <c r="A5" t="str">
        <v>Threshold</v>
      </c>
      <c r="B5" t="str">
        <v>Value</v>
      </c>
    </row>
    <row r="6">
      <c r="A6" t="str">
        <v>Fail</v>
      </c>
      <c r="B6">
        <v>1</v>
      </c>
    </row>
    <row r="7">
      <c r="A7" t="str">
        <v>Target</v>
      </c>
      <c r="B7">
        <v>0</v>
      </c>
    </row>
    <row r="8">
      <c r="A8" t="str">
        <v>Success</v>
      </c>
      <c r="B8" t="str">
        <v>n/a</v>
      </c>
    </row>
    <row r="9">
      <c r="A9" t="str">
        <v>Damage Points</v>
      </c>
      <c r="B9" t="str">
        <v>50 per event</v>
      </c>
    </row>
    <row r="10">
      <c r="A10" t="str">
        <v>Advantage Points</v>
      </c>
      <c r="B10" t="str">
        <v>n/a</v>
      </c>
    </row>
    <row r="12">
      <c r="A12" t="str">
        <v>Result</v>
      </c>
      <c r="B12" t="str">
        <v>Value</v>
      </c>
    </row>
    <row r="13">
      <c r="A13" t="str">
        <v>Total Incidents</v>
      </c>
      <c r="B13">
        <v>5</v>
      </c>
    </row>
    <row r="14">
      <c r="A14" t="str">
        <v>Total Damage Points</v>
      </c>
      <c r="B14">
        <v>250</v>
      </c>
    </row>
    <row r="15">
      <c r="A15" t="str">
        <v>Compliant Months</v>
      </c>
      <c r="B15" t="str">
        <v>8 of 12</v>
      </c>
    </row>
    <row r="16">
      <c r="A16" t="str">
        <v>Compliance Rate (%)</v>
      </c>
      <c r="B16">
        <v>67</v>
      </c>
    </row>
    <row r="17">
      <c r="A17" t="str">
        <v>Days Since Last Incident</v>
      </c>
      <c r="B17">
        <v>8</v>
      </c>
    </row>
    <row r="18">
      <c r="A18" t="str">
        <v>Status</v>
      </c>
      <c r="B18" t="str">
        <v>Non-Compliant (Fail)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Month</v>
      </c>
      <c r="B1" t="str">
        <v>Incidents</v>
      </c>
      <c r="C1" t="str">
        <v>Damage Points</v>
      </c>
      <c r="D1" t="str">
        <v>Cumulative Damage Points</v>
      </c>
      <c r="E1" t="str">
        <v>Target</v>
      </c>
      <c r="F1" t="str">
        <v>Result</v>
      </c>
    </row>
    <row r="2">
      <c r="A2" t="str">
        <v>Jan</v>
      </c>
      <c r="B2">
        <v>0</v>
      </c>
      <c r="C2">
        <v>0</v>
      </c>
      <c r="D2">
        <v>0</v>
      </c>
      <c r="E2">
        <v>0</v>
      </c>
      <c r="F2" t="str">
        <v>Pass</v>
      </c>
    </row>
    <row r="3">
      <c r="A3" t="str">
        <v>Feb</v>
      </c>
      <c r="B3">
        <v>1</v>
      </c>
      <c r="C3">
        <v>50</v>
      </c>
      <c r="D3">
        <v>50</v>
      </c>
      <c r="E3">
        <v>0</v>
      </c>
      <c r="F3" t="str">
        <v>Fail</v>
      </c>
    </row>
    <row r="4">
      <c r="A4" t="str">
        <v>Mar</v>
      </c>
      <c r="B4">
        <v>0</v>
      </c>
      <c r="C4">
        <v>0</v>
      </c>
      <c r="D4">
        <v>50</v>
      </c>
      <c r="E4">
        <v>0</v>
      </c>
      <c r="F4" t="str">
        <v>Pass</v>
      </c>
    </row>
    <row r="5">
      <c r="A5" t="str">
        <v>Apr</v>
      </c>
      <c r="B5">
        <v>0</v>
      </c>
      <c r="C5">
        <v>0</v>
      </c>
      <c r="D5">
        <v>50</v>
      </c>
      <c r="E5">
        <v>0</v>
      </c>
      <c r="F5" t="str">
        <v>Pass</v>
      </c>
    </row>
    <row r="6">
      <c r="A6" t="str">
        <v>May</v>
      </c>
      <c r="B6">
        <v>2</v>
      </c>
      <c r="C6">
        <v>100</v>
      </c>
      <c r="D6">
        <v>150</v>
      </c>
      <c r="E6">
        <v>0</v>
      </c>
      <c r="F6" t="str">
        <v>Fail</v>
      </c>
    </row>
    <row r="7">
      <c r="A7" t="str">
        <v>Jun</v>
      </c>
      <c r="B7">
        <v>0</v>
      </c>
      <c r="C7">
        <v>0</v>
      </c>
      <c r="D7">
        <v>150</v>
      </c>
      <c r="E7">
        <v>0</v>
      </c>
      <c r="F7" t="str">
        <v>Pass</v>
      </c>
    </row>
    <row r="8">
      <c r="A8" t="str">
        <v>Jul</v>
      </c>
      <c r="B8">
        <v>1</v>
      </c>
      <c r="C8">
        <v>50</v>
      </c>
      <c r="D8">
        <v>200</v>
      </c>
      <c r="E8">
        <v>0</v>
      </c>
      <c r="F8" t="str">
        <v>Fail</v>
      </c>
    </row>
    <row r="9">
      <c r="A9" t="str">
        <v>Aug</v>
      </c>
      <c r="B9">
        <v>0</v>
      </c>
      <c r="C9">
        <v>0</v>
      </c>
      <c r="D9">
        <v>200</v>
      </c>
      <c r="E9">
        <v>0</v>
      </c>
      <c r="F9" t="str">
        <v>Pass</v>
      </c>
    </row>
    <row r="10">
      <c r="A10" t="str">
        <v>Sep</v>
      </c>
      <c r="B10">
        <v>0</v>
      </c>
      <c r="C10">
        <v>0</v>
      </c>
      <c r="D10">
        <v>200</v>
      </c>
      <c r="E10">
        <v>0</v>
      </c>
      <c r="F10" t="str">
        <v>Pass</v>
      </c>
    </row>
    <row r="11">
      <c r="A11" t="str">
        <v>Oct</v>
      </c>
      <c r="B11">
        <v>1</v>
      </c>
      <c r="C11">
        <v>50</v>
      </c>
      <c r="D11">
        <v>250</v>
      </c>
      <c r="E11">
        <v>0</v>
      </c>
      <c r="F11" t="str">
        <v>Fail</v>
      </c>
    </row>
    <row r="12">
      <c r="A12" t="str">
        <v>Nov</v>
      </c>
      <c r="B12">
        <v>0</v>
      </c>
      <c r="C12">
        <v>0</v>
      </c>
      <c r="D12">
        <v>250</v>
      </c>
      <c r="E12">
        <v>0</v>
      </c>
      <c r="F12" t="str">
        <v>Pass</v>
      </c>
    </row>
    <row r="13">
      <c r="A13" t="str">
        <v>Dec</v>
      </c>
      <c r="B13">
        <v>0</v>
      </c>
      <c r="C13">
        <v>0</v>
      </c>
      <c r="D13">
        <v>250</v>
      </c>
      <c r="E13">
        <v>0</v>
      </c>
      <c r="F13" t="str">
        <v>Pass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Incident ID</v>
      </c>
      <c r="B1" t="str">
        <v>Date</v>
      </c>
      <c r="C1" t="str">
        <v>Category</v>
      </c>
      <c r="D1" t="str">
        <v>Location</v>
      </c>
      <c r="E1" t="str">
        <v>Severity</v>
      </c>
      <c r="F1" t="str">
        <v>Damage Points</v>
      </c>
      <c r="G1" t="str">
        <v>Status</v>
      </c>
      <c r="H1" t="str">
        <v>Description</v>
      </c>
    </row>
    <row r="2">
      <c r="A2" t="str">
        <v>INC-2401</v>
      </c>
      <c r="B2" t="str">
        <v>2026-02-14</v>
      </c>
      <c r="C2" t="str">
        <v>Unauthorized Access</v>
      </c>
      <c r="D2" t="str">
        <v>Terminal B — Restricted Ramp</v>
      </c>
      <c r="E2" t="str">
        <v>Critical</v>
      </c>
      <c r="F2">
        <v>50</v>
      </c>
      <c r="G2" t="str">
        <v>Confirmed</v>
      </c>
      <c r="H2" t="str">
        <v>Personnel failed to verify credentials, materially contributing to unauthorized access into a restricted area.</v>
      </c>
    </row>
    <row r="3">
      <c r="A3" t="str">
        <v>INC-2402</v>
      </c>
      <c r="B3" t="str">
        <v>2026-05-03</v>
      </c>
      <c r="C3" t="str">
        <v>Post Order</v>
      </c>
      <c r="D3" t="str">
        <v>Checkpoint 4</v>
      </c>
      <c r="E3" t="str">
        <v>Major</v>
      </c>
      <c r="F3">
        <v>50</v>
      </c>
      <c r="G3" t="str">
        <v>Confirmed</v>
      </c>
      <c r="H3" t="str">
        <v>Material failure to comply with applicable post orders during shift handover.</v>
      </c>
    </row>
    <row r="4">
      <c r="A4" t="str">
        <v>INC-2403</v>
      </c>
      <c r="B4" t="str">
        <v>2026-05-21</v>
      </c>
      <c r="C4" t="str">
        <v>HIAA Security Procedure</v>
      </c>
      <c r="D4" t="str">
        <v>Cargo Screening Bay</v>
      </c>
      <c r="E4" t="str">
        <v>Major</v>
      </c>
      <c r="F4">
        <v>50</v>
      </c>
      <c r="G4" t="str">
        <v>Confirmed</v>
      </c>
      <c r="H4" t="str">
        <v>Deviation from HIAA security screening procedure for inbound freight.</v>
      </c>
    </row>
    <row r="5">
      <c r="A5" t="str">
        <v>INC-2404</v>
      </c>
      <c r="B5" t="str">
        <v>2026-07-09</v>
      </c>
      <c r="C5" t="str">
        <v>Documentation Failure</v>
      </c>
      <c r="D5" t="str">
        <v>Access Control Office</v>
      </c>
      <c r="E5" t="str">
        <v>Minor</v>
      </c>
      <c r="F5">
        <v>50</v>
      </c>
      <c r="G5" t="str">
        <v>Confirmed</v>
      </c>
      <c r="H5" t="str">
        <v>Failure to accurately document a restricted-area access event within required window.</v>
      </c>
    </row>
    <row r="6">
      <c r="A6" t="str">
        <v>INC-2405</v>
      </c>
      <c r="B6" t="str">
        <v>2026-10-18</v>
      </c>
      <c r="C6" t="str">
        <v>Regulatory</v>
      </c>
      <c r="D6" t="str">
        <v>Perimeter Gate 2</v>
      </c>
      <c r="E6" t="str">
        <v>Major</v>
      </c>
      <c r="F6">
        <v>50</v>
      </c>
      <c r="G6" t="str">
        <v>Under Review</v>
      </c>
      <c r="H6" t="str">
        <v>Material failure to comply with applicable regulatory requirements at perimeter gate.</v>
      </c>
    </row>
    <row r="7">
      <c r="A7" t="str">
        <v>INC-6</v>
      </c>
      <c r="B7" t="str">
        <v>2026-02-14</v>
      </c>
      <c r="C7" t="str">
        <v>Unauthorized Access</v>
      </c>
      <c r="D7" t="str">
        <v>Terminal B — Restricted Ramp</v>
      </c>
      <c r="E7" t="str">
        <v>Critical</v>
      </c>
      <c r="F7">
        <v>50</v>
      </c>
      <c r="G7" t="str">
        <v>Confirmed</v>
      </c>
      <c r="H7" t="str">
        <v>Personnel failed to verify credentials, materially contributing to unauthorized access into a restricted area.</v>
      </c>
    </row>
    <row r="8">
      <c r="A8" t="str">
        <v>INC-7</v>
      </c>
      <c r="B8" t="str">
        <v>2026-05-03</v>
      </c>
      <c r="C8" t="str">
        <v>Post Order</v>
      </c>
      <c r="D8" t="str">
        <v>Checkpoint 4</v>
      </c>
      <c r="E8" t="str">
        <v>Major</v>
      </c>
      <c r="F8">
        <v>50</v>
      </c>
      <c r="G8" t="str">
        <v>Confirmed</v>
      </c>
      <c r="H8" t="str">
        <v>Material failure to comply with applicable post orders during shift handover.</v>
      </c>
    </row>
    <row r="9">
      <c r="A9" t="str">
        <v>INC-8</v>
      </c>
      <c r="B9" t="str">
        <v>2026-05-21</v>
      </c>
      <c r="C9" t="str">
        <v>HIAA Security Procedure</v>
      </c>
      <c r="D9" t="str">
        <v>Cargo Screening Bay</v>
      </c>
      <c r="E9" t="str">
        <v>Major</v>
      </c>
      <c r="F9">
        <v>50</v>
      </c>
      <c r="G9" t="str">
        <v>Confirmed</v>
      </c>
      <c r="H9" t="str">
        <v>Deviation from HIAA security screening procedure for inbound freight.</v>
      </c>
    </row>
    <row r="10">
      <c r="A10" t="str">
        <v>INC-9</v>
      </c>
      <c r="B10" t="str">
        <v>2026-07-09</v>
      </c>
      <c r="C10" t="str">
        <v>Documentation Failure</v>
      </c>
      <c r="D10" t="str">
        <v>Access Control Office</v>
      </c>
      <c r="E10" t="str">
        <v>Minor</v>
      </c>
      <c r="F10">
        <v>50</v>
      </c>
      <c r="G10" t="str">
        <v>Confirmed</v>
      </c>
      <c r="H10" t="str">
        <v>Failure to accurately document a restricted-area access event within required window.</v>
      </c>
    </row>
    <row r="11">
      <c r="A11" t="str">
        <v>INC-10</v>
      </c>
      <c r="B11" t="str">
        <v>2026-10-18</v>
      </c>
      <c r="C11" t="str">
        <v>Regulatory</v>
      </c>
      <c r="D11" t="str">
        <v>Perimeter Gate 2</v>
      </c>
      <c r="E11" t="str">
        <v>Major</v>
      </c>
      <c r="F11">
        <v>50</v>
      </c>
      <c r="G11" t="str">
        <v>Under Review</v>
      </c>
      <c r="H11" t="str">
        <v>Material failure to comply with applicable regulatory requirements at perimeter gate.</v>
      </c>
    </row>
    <row r="12">
      <c r="A12" t="str">
        <v>INC-11</v>
      </c>
      <c r="B12" t="str">
        <v>2026-02-14</v>
      </c>
      <c r="C12" t="str">
        <v>Unauthorized Access</v>
      </c>
      <c r="D12" t="str">
        <v>Terminal B — Restricted Ramp</v>
      </c>
      <c r="E12" t="str">
        <v>Critical</v>
      </c>
      <c r="F12">
        <v>50</v>
      </c>
      <c r="G12" t="str">
        <v>Confirmed</v>
      </c>
      <c r="H12" t="str">
        <v>Personnel failed to verify credentials, materially contributing to unauthorized access into a restricted area.</v>
      </c>
    </row>
    <row r="13">
      <c r="A13" t="str">
        <v>INC-12</v>
      </c>
      <c r="B13" t="str">
        <v>2026-05-03</v>
      </c>
      <c r="C13" t="str">
        <v>Post Order</v>
      </c>
      <c r="D13" t="str">
        <v>Checkpoint 4</v>
      </c>
      <c r="E13" t="str">
        <v>Major</v>
      </c>
      <c r="F13">
        <v>50</v>
      </c>
      <c r="G13" t="str">
        <v>Confirmed</v>
      </c>
      <c r="H13" t="str">
        <v>Material failure to comply with applicable post orders during shift handover.</v>
      </c>
    </row>
    <row r="14">
      <c r="A14" t="str">
        <v>INC-13</v>
      </c>
      <c r="B14" t="str">
        <v>2026-05-21</v>
      </c>
      <c r="C14" t="str">
        <v>HIAA Security Procedure</v>
      </c>
      <c r="D14" t="str">
        <v>Cargo Screening Bay</v>
      </c>
      <c r="E14" t="str">
        <v>Major</v>
      </c>
      <c r="F14">
        <v>50</v>
      </c>
      <c r="G14" t="str">
        <v>Confirmed</v>
      </c>
      <c r="H14" t="str">
        <v>Deviation from HIAA security screening procedure for inbound freight.</v>
      </c>
    </row>
    <row r="15">
      <c r="A15" t="str">
        <v>INC-14</v>
      </c>
      <c r="B15" t="str">
        <v>2026-07-09</v>
      </c>
      <c r="C15" t="str">
        <v>Documentation Failure</v>
      </c>
      <c r="D15" t="str">
        <v>Access Control Office</v>
      </c>
      <c r="E15" t="str">
        <v>Minor</v>
      </c>
      <c r="F15">
        <v>50</v>
      </c>
      <c r="G15" t="str">
        <v>Confirmed</v>
      </c>
      <c r="H15" t="str">
        <v>Failure to accurately document a restricted-area access event within required window.</v>
      </c>
    </row>
    <row r="16">
      <c r="A16" t="str">
        <v>INC-15</v>
      </c>
      <c r="B16" t="str">
        <v>2026-10-18</v>
      </c>
      <c r="C16" t="str">
        <v>Regulatory</v>
      </c>
      <c r="D16" t="str">
        <v>Perimeter Gate 2</v>
      </c>
      <c r="E16" t="str">
        <v>Major</v>
      </c>
      <c r="F16">
        <v>50</v>
      </c>
      <c r="G16" t="str">
        <v>Under Review</v>
      </c>
      <c r="H16" t="str">
        <v>Material failure to comply with applicable regulatory requirements at perimeter gate.</v>
      </c>
    </row>
    <row r="17">
      <c r="A17" t="str">
        <v>INC-16</v>
      </c>
      <c r="B17" t="str">
        <v>2026-02-14</v>
      </c>
      <c r="C17" t="str">
        <v>Unauthorized Access</v>
      </c>
      <c r="D17" t="str">
        <v>Terminal B — Restricted Ramp</v>
      </c>
      <c r="E17" t="str">
        <v>Critical</v>
      </c>
      <c r="F17">
        <v>50</v>
      </c>
      <c r="G17" t="str">
        <v>Confirmed</v>
      </c>
      <c r="H17" t="str">
        <v>Personnel failed to verify credentials, materially contributing to unauthorized access into a restricted area.</v>
      </c>
    </row>
    <row r="18">
      <c r="A18" t="str">
        <v>INC-17</v>
      </c>
      <c r="B18" t="str">
        <v>2026-05-03</v>
      </c>
      <c r="C18" t="str">
        <v>Post Order</v>
      </c>
      <c r="D18" t="str">
        <v>Checkpoint 4</v>
      </c>
      <c r="E18" t="str">
        <v>Major</v>
      </c>
      <c r="F18">
        <v>50</v>
      </c>
      <c r="G18" t="str">
        <v>Confirmed</v>
      </c>
      <c r="H18" t="str">
        <v>Material failure to comply with applicable post orders during shift handover.</v>
      </c>
    </row>
    <row r="19">
      <c r="A19" t="str">
        <v>INC-18</v>
      </c>
      <c r="B19" t="str">
        <v>2026-05-21</v>
      </c>
      <c r="C19" t="str">
        <v>HIAA Security Procedure</v>
      </c>
      <c r="D19" t="str">
        <v>Cargo Screening Bay</v>
      </c>
      <c r="E19" t="str">
        <v>Major</v>
      </c>
      <c r="F19">
        <v>50</v>
      </c>
      <c r="G19" t="str">
        <v>Confirmed</v>
      </c>
      <c r="H19" t="str">
        <v>Deviation from HIAA security screening procedure for inbound freight.</v>
      </c>
    </row>
    <row r="20">
      <c r="A20" t="str">
        <v>INC-19</v>
      </c>
      <c r="B20" t="str">
        <v>2026-07-09</v>
      </c>
      <c r="C20" t="str">
        <v>Documentation Failure</v>
      </c>
      <c r="D20" t="str">
        <v>Access Control Office</v>
      </c>
      <c r="E20" t="str">
        <v>Minor</v>
      </c>
      <c r="F20">
        <v>50</v>
      </c>
      <c r="G20" t="str">
        <v>Confirmed</v>
      </c>
      <c r="H20" t="str">
        <v>Failure to accurately document a restricted-area access event within required window.</v>
      </c>
    </row>
    <row r="21">
      <c r="A21" t="str">
        <v>INC-20</v>
      </c>
      <c r="B21" t="str">
        <v>2026-10-18</v>
      </c>
      <c r="C21" t="str">
        <v>Regulatory</v>
      </c>
      <c r="D21" t="str">
        <v>Perimeter Gate 2</v>
      </c>
      <c r="E21" t="str">
        <v>Major</v>
      </c>
      <c r="F21">
        <v>50</v>
      </c>
      <c r="G21" t="str">
        <v>Under Review</v>
      </c>
      <c r="H21" t="str">
        <v>Material failure to comply with applicable regulatory requirements at perimeter gate.</v>
      </c>
    </row>
    <row r="22">
      <c r="A22" t="str">
        <v>INC-21</v>
      </c>
      <c r="B22" t="str">
        <v>2026-02-14</v>
      </c>
      <c r="C22" t="str">
        <v>Unauthorized Access</v>
      </c>
      <c r="D22" t="str">
        <v>Terminal B — Restricted Ramp</v>
      </c>
      <c r="E22" t="str">
        <v>Critical</v>
      </c>
      <c r="F22">
        <v>50</v>
      </c>
      <c r="G22" t="str">
        <v>Confirmed</v>
      </c>
      <c r="H22" t="str">
        <v>Personnel failed to verify credentials, materially contributing to unauthorized access into a restricted area.</v>
      </c>
    </row>
    <row r="23">
      <c r="A23" t="str">
        <v>INC-22</v>
      </c>
      <c r="B23" t="str">
        <v>2026-05-03</v>
      </c>
      <c r="C23" t="str">
        <v>Post Order</v>
      </c>
      <c r="D23" t="str">
        <v>Checkpoint 4</v>
      </c>
      <c r="E23" t="str">
        <v>Major</v>
      </c>
      <c r="F23">
        <v>50</v>
      </c>
      <c r="G23" t="str">
        <v>Confirmed</v>
      </c>
      <c r="H23" t="str">
        <v>Material failure to comply with applicable post orders during shift handover.</v>
      </c>
    </row>
    <row r="24">
      <c r="A24" t="str">
        <v>INC-23</v>
      </c>
      <c r="B24" t="str">
        <v>2026-05-21</v>
      </c>
      <c r="C24" t="str">
        <v>HIAA Security Procedure</v>
      </c>
      <c r="D24" t="str">
        <v>Cargo Screening Bay</v>
      </c>
      <c r="E24" t="str">
        <v>Major</v>
      </c>
      <c r="F24">
        <v>50</v>
      </c>
      <c r="G24" t="str">
        <v>Confirmed</v>
      </c>
      <c r="H24" t="str">
        <v>Deviation from HIAA security screening procedure for inbound freight.</v>
      </c>
    </row>
    <row r="25">
      <c r="A25" t="str">
        <v>INC-24</v>
      </c>
      <c r="B25" t="str">
        <v>2026-07-09</v>
      </c>
      <c r="C25" t="str">
        <v>Documentation Failure</v>
      </c>
      <c r="D25" t="str">
        <v>Access Control Office</v>
      </c>
      <c r="E25" t="str">
        <v>Minor</v>
      </c>
      <c r="F25">
        <v>50</v>
      </c>
      <c r="G25" t="str">
        <v>Confirmed</v>
      </c>
      <c r="H25" t="str">
        <v>Failure to accurately document a restricted-area access event within required window.</v>
      </c>
    </row>
    <row r="26">
      <c r="A26" t="str">
        <v>INC-25</v>
      </c>
      <c r="B26" t="str">
        <v>2026-10-18</v>
      </c>
      <c r="C26" t="str">
        <v>Regulatory</v>
      </c>
      <c r="D26" t="str">
        <v>Perimeter Gate 2</v>
      </c>
      <c r="E26" t="str">
        <v>Major</v>
      </c>
      <c r="F26">
        <v>50</v>
      </c>
      <c r="G26" t="str">
        <v>Under Review</v>
      </c>
      <c r="H26" t="str">
        <v>Material failure to comply with applicable regulatory requirements at perimeter gate.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Unauthorized Access</v>
      </c>
      <c r="B2">
        <v>1</v>
      </c>
    </row>
    <row r="3">
      <c r="A3" t="str">
        <v>Post Order</v>
      </c>
      <c r="B3">
        <v>1</v>
      </c>
    </row>
    <row r="4">
      <c r="A4" t="str">
        <v>HIAA Security Procedure</v>
      </c>
      <c r="B4">
        <v>1</v>
      </c>
    </row>
    <row r="5">
      <c r="A5" t="str">
        <v>Documentation Failure</v>
      </c>
      <c r="B5">
        <v>1</v>
      </c>
    </row>
    <row r="6">
      <c r="A6" t="str">
        <v>Regulatory</v>
      </c>
      <c r="B6">
        <v>1</v>
      </c>
    </row>
  </sheetData>
  <ignoredErrors>
    <ignoredError numberStoredAsText="1" sqref="A1:B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KPI-07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COUNTA('Incident Log'!A2:A26)</f>
      </c>
    </row>
    <row r="4">
      <c r="A4" t="str">
        <v>Total Damage Points</v>
      </c>
      <c r="B4" t="e">
        <f>SUM('Incident Log'!F2:F26)</f>
      </c>
    </row>
    <row r="5">
      <c r="A5" t="str">
        <v>Avg Damage / Record</v>
      </c>
      <c r="B5" t="e">
        <f>IFERROR(AVERAGE('Incident Log'!F2:F26),0)</f>
      </c>
    </row>
    <row r="6">
      <c r="A6" t="str">
        <v>Records With Damage</v>
      </c>
      <c r="B6" t="e">
        <f>COUNTIF('Incident Log'!F2:F26,"&gt;0")</f>
      </c>
    </row>
    <row r="7">
      <c r="A7" t="str">
        <v>Fail / Breach Count</v>
      </c>
      <c r="B7" t="e">
        <f>COUNTIF('Incident Log'!G2:G26,"*ail*")+COUNTIF('Incident Log'!G2:G26,"*reach*")</f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Summary</vt:lpstr>
      <vt:lpstr>Monthly Incidents</vt:lpstr>
      <vt:lpstr>Incident Log</vt:lpstr>
      <vt:lpstr>Category Breakdown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