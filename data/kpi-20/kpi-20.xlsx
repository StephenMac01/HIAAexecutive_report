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hift Log" sheetId="2" r:id="rId2"/>
    <sheet name="KPI Definition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KPI-20 — AVOP DA &amp; D Drivers</v>
      </c>
    </row>
    <row r="3">
      <c r="A3" t="str">
        <v>How to use this workbook</v>
      </c>
    </row>
    <row r="4">
      <c r="A4" t="str">
        <v>1. The dashboard reads the 'Shift Log' sheet. Every chart and number is calculated from those rows.</v>
      </c>
    </row>
    <row r="5">
      <c r="A5" t="str">
        <v>2. Add ONE row per shift. Most teams log two shifts a day (Day and Night), so that is two rows per day.</v>
      </c>
    </row>
    <row r="6">
      <c r="A6" t="str">
        <v>3. Each week, append the new week's rows to the bottom of the Shift Log. Do not leave blank rows in between.</v>
      </c>
    </row>
    <row r="7">
      <c r="A7" t="str">
        <v>4. Only 'D Drivers On Shift' needs to be counted and entered by you. The rest is reference or auto-derived.</v>
      </c>
    </row>
    <row r="9">
      <c r="A9" t="str">
        <v>Column</v>
      </c>
      <c r="B9" t="str">
        <v>What to enter</v>
      </c>
    </row>
    <row r="10">
      <c r="A10" t="str">
        <v>Week</v>
      </c>
      <c r="B10" t="str">
        <v>ISO week label, e.g. 2026-W02. Groups rows for the weekly trend chart.</v>
      </c>
    </row>
    <row r="11">
      <c r="A11" t="str">
        <v>Week Starting</v>
      </c>
      <c r="B11" t="str">
        <v>The Monday date of that week (YYYY-MM-DD).</v>
      </c>
    </row>
    <row r="12">
      <c r="A12" t="str">
        <v>Date</v>
      </c>
      <c r="B12" t="str">
        <v>The calendar date of the shift (YYYY-MM-DD).</v>
      </c>
    </row>
    <row r="13">
      <c r="A13" t="str">
        <v>Shift</v>
      </c>
      <c r="B13" t="str">
        <v>Day or Night.</v>
      </c>
    </row>
    <row r="14">
      <c r="A14" t="str">
        <v>Team</v>
      </c>
      <c r="B14" t="str">
        <v>The Response Team that worked the shift.</v>
      </c>
    </row>
    <row r="15">
      <c r="A15" t="str">
        <v>D Drivers On Shift</v>
      </c>
      <c r="B15" t="str">
        <v>How many qualified D drivers were actually on shift. THIS is the number you record.</v>
      </c>
    </row>
    <row r="16">
      <c r="A16" t="str">
        <v>Minimum Required</v>
      </c>
      <c r="B16" t="str">
        <v>Always 2 (per the KPI). Kept in the sheet for reference.</v>
      </c>
    </row>
    <row r="17">
      <c r="A17" t="str">
        <v>Meets Requirement</v>
      </c>
      <c r="B17" t="str">
        <v>Yes if D Drivers On Shift &gt;= 2, otherwise No.</v>
      </c>
    </row>
    <row r="18">
      <c r="A18" t="str">
        <v>Event</v>
      </c>
      <c r="B18" t="str">
        <v>1 if the shift was below minimum, otherwise 0. Each event counts once.</v>
      </c>
    </row>
    <row r="19">
      <c r="A19" t="str">
        <v>Damage Points</v>
      </c>
      <c r="B19" t="str">
        <v>5 for every event, otherwise 0.</v>
      </c>
    </row>
    <row r="21">
      <c r="A21" t="str">
        <v>Rule of thumb</v>
      </c>
      <c r="B21" t="str">
        <v>Fewer than 2 D drivers on a shift = 1 event = 5 damage points. Target is 0 events.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Week</v>
      </c>
      <c r="B1" t="str">
        <v>Week Starting</v>
      </c>
      <c r="C1" t="str">
        <v>Date</v>
      </c>
      <c r="D1" t="str">
        <v>Shift</v>
      </c>
      <c r="E1" t="str">
        <v>Team</v>
      </c>
      <c r="F1" t="str">
        <v>D Drivers On Shift</v>
      </c>
      <c r="G1" t="str">
        <v>Minimum Required</v>
      </c>
      <c r="H1" t="str">
        <v>Meets Requirement</v>
      </c>
      <c r="I1" t="str">
        <v>Event</v>
      </c>
      <c r="J1" t="str">
        <v>Damage Points</v>
      </c>
    </row>
    <row r="2">
      <c r="A2" t="str">
        <v>2026-W02</v>
      </c>
      <c r="B2" t="str">
        <v>2026-01-05</v>
      </c>
      <c r="C2" t="str">
        <v>2026-01-05</v>
      </c>
      <c r="D2" t="str">
        <v>Day</v>
      </c>
      <c r="E2" t="str">
        <v>Alpha Response Team</v>
      </c>
      <c r="F2">
        <v>3</v>
      </c>
      <c r="G2">
        <v>2</v>
      </c>
      <c r="H2" t="str">
        <v>Yes</v>
      </c>
      <c r="I2">
        <v>0</v>
      </c>
      <c r="J2">
        <v>0</v>
      </c>
    </row>
    <row r="3">
      <c r="A3" t="str">
        <v>2026-W02</v>
      </c>
      <c r="B3" t="str">
        <v>2026-01-05</v>
      </c>
      <c r="C3" t="str">
        <v>2026-01-05</v>
      </c>
      <c r="D3" t="str">
        <v>Night</v>
      </c>
      <c r="E3" t="str">
        <v>Alpha Response Team</v>
      </c>
      <c r="F3">
        <v>2</v>
      </c>
      <c r="G3">
        <v>2</v>
      </c>
      <c r="H3" t="str">
        <v>Yes</v>
      </c>
      <c r="I3">
        <v>0</v>
      </c>
      <c r="J3">
        <v>0</v>
      </c>
    </row>
    <row r="4">
      <c r="A4" t="str">
        <v>2026-W02</v>
      </c>
      <c r="B4" t="str">
        <v>2026-01-05</v>
      </c>
      <c r="C4" t="str">
        <v>2026-01-06</v>
      </c>
      <c r="D4" t="str">
        <v>Day</v>
      </c>
      <c r="E4" t="str">
        <v>Bravo Response Team</v>
      </c>
      <c r="F4">
        <v>2</v>
      </c>
      <c r="G4">
        <v>2</v>
      </c>
      <c r="H4" t="str">
        <v>Yes</v>
      </c>
      <c r="I4">
        <v>0</v>
      </c>
      <c r="J4">
        <v>0</v>
      </c>
    </row>
    <row r="5">
      <c r="A5" t="str">
        <v>2026-W02</v>
      </c>
      <c r="B5" t="str">
        <v>2026-01-05</v>
      </c>
      <c r="C5" t="str">
        <v>2026-01-06</v>
      </c>
      <c r="D5" t="str">
        <v>Night</v>
      </c>
      <c r="E5" t="str">
        <v>Bravo Response Team</v>
      </c>
      <c r="F5">
        <v>2</v>
      </c>
      <c r="G5">
        <v>2</v>
      </c>
      <c r="H5" t="str">
        <v>Yes</v>
      </c>
      <c r="I5">
        <v>0</v>
      </c>
      <c r="J5">
        <v>0</v>
      </c>
    </row>
    <row r="6">
      <c r="A6" t="str">
        <v>2026-W02</v>
      </c>
      <c r="B6" t="str">
        <v>2026-01-05</v>
      </c>
      <c r="C6" t="str">
        <v>2026-01-07</v>
      </c>
      <c r="D6" t="str">
        <v>Day</v>
      </c>
      <c r="E6" t="str">
        <v>Alpha Response Team</v>
      </c>
      <c r="F6">
        <v>3</v>
      </c>
      <c r="G6">
        <v>2</v>
      </c>
      <c r="H6" t="str">
        <v>Yes</v>
      </c>
      <c r="I6">
        <v>0</v>
      </c>
      <c r="J6">
        <v>0</v>
      </c>
    </row>
    <row r="7">
      <c r="A7" t="str">
        <v>2026-W02</v>
      </c>
      <c r="B7" t="str">
        <v>2026-01-05</v>
      </c>
      <c r="C7" t="str">
        <v>2026-01-07</v>
      </c>
      <c r="D7" t="str">
        <v>Night</v>
      </c>
      <c r="E7" t="str">
        <v>Alpha Response Team</v>
      </c>
      <c r="F7">
        <v>3</v>
      </c>
      <c r="G7">
        <v>2</v>
      </c>
      <c r="H7" t="str">
        <v>Yes</v>
      </c>
      <c r="I7">
        <v>0</v>
      </c>
      <c r="J7">
        <v>0</v>
      </c>
    </row>
    <row r="8">
      <c r="A8" t="str">
        <v>2026-W02</v>
      </c>
      <c r="B8" t="str">
        <v>2026-01-05</v>
      </c>
      <c r="C8" t="str">
        <v>2026-01-08</v>
      </c>
      <c r="D8" t="str">
        <v>Day</v>
      </c>
      <c r="E8" t="str">
        <v>Bravo Response Team</v>
      </c>
      <c r="F8">
        <v>2</v>
      </c>
      <c r="G8">
        <v>2</v>
      </c>
      <c r="H8" t="str">
        <v>Yes</v>
      </c>
      <c r="I8">
        <v>0</v>
      </c>
      <c r="J8">
        <v>0</v>
      </c>
    </row>
    <row r="9">
      <c r="A9" t="str">
        <v>2026-W02</v>
      </c>
      <c r="B9" t="str">
        <v>2026-01-05</v>
      </c>
      <c r="C9" t="str">
        <v>2026-01-08</v>
      </c>
      <c r="D9" t="str">
        <v>Night</v>
      </c>
      <c r="E9" t="str">
        <v>Bravo Response Team</v>
      </c>
      <c r="F9">
        <v>1</v>
      </c>
      <c r="G9">
        <v>2</v>
      </c>
      <c r="H9" t="str">
        <v>No</v>
      </c>
      <c r="I9">
        <v>1</v>
      </c>
      <c r="J9">
        <v>5</v>
      </c>
    </row>
    <row r="10">
      <c r="A10" t="str">
        <v>2026-W02</v>
      </c>
      <c r="B10" t="str">
        <v>2026-01-05</v>
      </c>
      <c r="C10" t="str">
        <v>2026-01-09</v>
      </c>
      <c r="D10" t="str">
        <v>Day</v>
      </c>
      <c r="E10" t="str">
        <v>Alpha Response Team</v>
      </c>
      <c r="F10">
        <v>3</v>
      </c>
      <c r="G10">
        <v>2</v>
      </c>
      <c r="H10" t="str">
        <v>Yes</v>
      </c>
      <c r="I10">
        <v>0</v>
      </c>
      <c r="J10">
        <v>0</v>
      </c>
    </row>
    <row r="11">
      <c r="A11" t="str">
        <v>2026-W02</v>
      </c>
      <c r="B11" t="str">
        <v>2026-01-05</v>
      </c>
      <c r="C11" t="str">
        <v>2026-01-09</v>
      </c>
      <c r="D11" t="str">
        <v>Night</v>
      </c>
      <c r="E11" t="str">
        <v>Alpha Response Team</v>
      </c>
      <c r="F11">
        <v>2</v>
      </c>
      <c r="G11">
        <v>2</v>
      </c>
      <c r="H11" t="str">
        <v>Yes</v>
      </c>
      <c r="I11">
        <v>0</v>
      </c>
      <c r="J11">
        <v>0</v>
      </c>
    </row>
    <row r="12">
      <c r="A12" t="str">
        <v>2026-W02</v>
      </c>
      <c r="B12" t="str">
        <v>2026-01-05</v>
      </c>
      <c r="C12" t="str">
        <v>2026-01-10</v>
      </c>
      <c r="D12" t="str">
        <v>Day</v>
      </c>
      <c r="E12" t="str">
        <v>Bravo Response Team</v>
      </c>
      <c r="F12">
        <v>2</v>
      </c>
      <c r="G12">
        <v>2</v>
      </c>
      <c r="H12" t="str">
        <v>Yes</v>
      </c>
      <c r="I12">
        <v>0</v>
      </c>
      <c r="J12">
        <v>0</v>
      </c>
    </row>
    <row r="13">
      <c r="A13" t="str">
        <v>2026-W02</v>
      </c>
      <c r="B13" t="str">
        <v>2026-01-05</v>
      </c>
      <c r="C13" t="str">
        <v>2026-01-10</v>
      </c>
      <c r="D13" t="str">
        <v>Night</v>
      </c>
      <c r="E13" t="str">
        <v>Bravo Response Team</v>
      </c>
      <c r="F13">
        <v>2</v>
      </c>
      <c r="G13">
        <v>2</v>
      </c>
      <c r="H13" t="str">
        <v>Yes</v>
      </c>
      <c r="I13">
        <v>0</v>
      </c>
      <c r="J13">
        <v>0</v>
      </c>
    </row>
    <row r="14">
      <c r="A14" t="str">
        <v>2026-W02</v>
      </c>
      <c r="B14" t="str">
        <v>2026-01-05</v>
      </c>
      <c r="C14" t="str">
        <v>2026-01-11</v>
      </c>
      <c r="D14" t="str">
        <v>Day</v>
      </c>
      <c r="E14" t="str">
        <v>Alpha Response Team</v>
      </c>
      <c r="F14">
        <v>2</v>
      </c>
      <c r="G14">
        <v>2</v>
      </c>
      <c r="H14" t="str">
        <v>Yes</v>
      </c>
      <c r="I14">
        <v>0</v>
      </c>
      <c r="J14">
        <v>0</v>
      </c>
    </row>
    <row r="15">
      <c r="A15" t="str">
        <v>2026-W02</v>
      </c>
      <c r="B15" t="str">
        <v>2026-01-05</v>
      </c>
      <c r="C15" t="str">
        <v>2026-01-11</v>
      </c>
      <c r="D15" t="str">
        <v>Night</v>
      </c>
      <c r="E15" t="str">
        <v>Alpha Response Team</v>
      </c>
      <c r="F15">
        <v>3</v>
      </c>
      <c r="G15">
        <v>2</v>
      </c>
      <c r="H15" t="str">
        <v>Yes</v>
      </c>
      <c r="I15">
        <v>0</v>
      </c>
      <c r="J15">
        <v>0</v>
      </c>
    </row>
    <row r="16">
      <c r="A16" t="str">
        <v>2026-W03</v>
      </c>
      <c r="B16" t="str">
        <v>2026-01-12</v>
      </c>
      <c r="C16" t="str">
        <v>2026-01-12</v>
      </c>
      <c r="D16" t="str">
        <v>Day</v>
      </c>
      <c r="E16" t="str">
        <v>Alpha Response Team</v>
      </c>
      <c r="F16">
        <v>2</v>
      </c>
      <c r="G16">
        <v>2</v>
      </c>
      <c r="H16" t="str">
        <v>Yes</v>
      </c>
      <c r="I16">
        <v>0</v>
      </c>
      <c r="J16">
        <v>0</v>
      </c>
    </row>
    <row r="17">
      <c r="A17" t="str">
        <v>2026-W03</v>
      </c>
      <c r="B17" t="str">
        <v>2026-01-12</v>
      </c>
      <c r="C17" t="str">
        <v>2026-01-12</v>
      </c>
      <c r="D17" t="str">
        <v>Night</v>
      </c>
      <c r="E17" t="str">
        <v>Alpha Response Team</v>
      </c>
      <c r="F17">
        <v>2</v>
      </c>
      <c r="G17">
        <v>2</v>
      </c>
      <c r="H17" t="str">
        <v>Yes</v>
      </c>
      <c r="I17">
        <v>0</v>
      </c>
      <c r="J17">
        <v>0</v>
      </c>
    </row>
    <row r="18">
      <c r="A18" t="str">
        <v>2026-W03</v>
      </c>
      <c r="B18" t="str">
        <v>2026-01-12</v>
      </c>
      <c r="C18" t="str">
        <v>2026-01-13</v>
      </c>
      <c r="D18" t="str">
        <v>Day</v>
      </c>
      <c r="E18" t="str">
        <v>Bravo Response Team</v>
      </c>
      <c r="F18">
        <v>1</v>
      </c>
      <c r="G18">
        <v>2</v>
      </c>
      <c r="H18" t="str">
        <v>No</v>
      </c>
      <c r="I18">
        <v>1</v>
      </c>
      <c r="J18">
        <v>5</v>
      </c>
    </row>
    <row r="19">
      <c r="A19" t="str">
        <v>2026-W03</v>
      </c>
      <c r="B19" t="str">
        <v>2026-01-12</v>
      </c>
      <c r="C19" t="str">
        <v>2026-01-13</v>
      </c>
      <c r="D19" t="str">
        <v>Night</v>
      </c>
      <c r="E19" t="str">
        <v>Bravo Response Team</v>
      </c>
      <c r="F19">
        <v>2</v>
      </c>
      <c r="G19">
        <v>2</v>
      </c>
      <c r="H19" t="str">
        <v>Yes</v>
      </c>
      <c r="I19">
        <v>0</v>
      </c>
      <c r="J19">
        <v>0</v>
      </c>
    </row>
    <row r="20">
      <c r="A20" t="str">
        <v>2026-W03</v>
      </c>
      <c r="B20" t="str">
        <v>2026-01-12</v>
      </c>
      <c r="C20" t="str">
        <v>2026-01-14</v>
      </c>
      <c r="D20" t="str">
        <v>Day</v>
      </c>
      <c r="E20" t="str">
        <v>Alpha Response Team</v>
      </c>
      <c r="F20">
        <v>2</v>
      </c>
      <c r="G20">
        <v>2</v>
      </c>
      <c r="H20" t="str">
        <v>Yes</v>
      </c>
      <c r="I20">
        <v>0</v>
      </c>
      <c r="J20">
        <v>0</v>
      </c>
    </row>
    <row r="21">
      <c r="A21" t="str">
        <v>2026-W03</v>
      </c>
      <c r="B21" t="str">
        <v>2026-01-12</v>
      </c>
      <c r="C21" t="str">
        <v>2026-01-14</v>
      </c>
      <c r="D21" t="str">
        <v>Night</v>
      </c>
      <c r="E21" t="str">
        <v>Alpha Response Team</v>
      </c>
      <c r="F21">
        <v>3</v>
      </c>
      <c r="G21">
        <v>2</v>
      </c>
      <c r="H21" t="str">
        <v>Yes</v>
      </c>
      <c r="I21">
        <v>0</v>
      </c>
      <c r="J21">
        <v>0</v>
      </c>
    </row>
    <row r="22">
      <c r="A22" t="str">
        <v>2026-W03</v>
      </c>
      <c r="B22" t="str">
        <v>2026-01-12</v>
      </c>
      <c r="C22" t="str">
        <v>2026-01-15</v>
      </c>
      <c r="D22" t="str">
        <v>Day</v>
      </c>
      <c r="E22" t="str">
        <v>Bravo Response Team</v>
      </c>
      <c r="F22">
        <v>3</v>
      </c>
      <c r="G22">
        <v>2</v>
      </c>
      <c r="H22" t="str">
        <v>Yes</v>
      </c>
      <c r="I22">
        <v>0</v>
      </c>
      <c r="J22">
        <v>0</v>
      </c>
    </row>
    <row r="23">
      <c r="A23" t="str">
        <v>2026-W03</v>
      </c>
      <c r="B23" t="str">
        <v>2026-01-12</v>
      </c>
      <c r="C23" t="str">
        <v>2026-01-15</v>
      </c>
      <c r="D23" t="str">
        <v>Night</v>
      </c>
      <c r="E23" t="str">
        <v>Bravo Response Team</v>
      </c>
      <c r="F23">
        <v>2</v>
      </c>
      <c r="G23">
        <v>2</v>
      </c>
      <c r="H23" t="str">
        <v>Yes</v>
      </c>
      <c r="I23">
        <v>0</v>
      </c>
      <c r="J23">
        <v>0</v>
      </c>
    </row>
    <row r="24">
      <c r="A24" t="str">
        <v>2026-W03</v>
      </c>
      <c r="B24" t="str">
        <v>2026-01-12</v>
      </c>
      <c r="C24" t="str">
        <v>2026-01-16</v>
      </c>
      <c r="D24" t="str">
        <v>Day</v>
      </c>
      <c r="E24" t="str">
        <v>Alpha Response Team</v>
      </c>
      <c r="F24">
        <v>2</v>
      </c>
      <c r="G24">
        <v>2</v>
      </c>
      <c r="H24" t="str">
        <v>Yes</v>
      </c>
      <c r="I24">
        <v>0</v>
      </c>
      <c r="J24">
        <v>0</v>
      </c>
    </row>
    <row r="25">
      <c r="A25" t="str">
        <v>2026-W03</v>
      </c>
      <c r="B25" t="str">
        <v>2026-01-12</v>
      </c>
      <c r="C25" t="str">
        <v>2026-01-16</v>
      </c>
      <c r="D25" t="str">
        <v>Night</v>
      </c>
      <c r="E25" t="str">
        <v>Alpha Response Team</v>
      </c>
      <c r="F25">
        <v>0</v>
      </c>
      <c r="G25">
        <v>2</v>
      </c>
      <c r="H25" t="str">
        <v>No</v>
      </c>
      <c r="I25">
        <v>1</v>
      </c>
      <c r="J25">
        <v>5</v>
      </c>
    </row>
    <row r="26">
      <c r="A26" t="str">
        <v>2026-W03</v>
      </c>
      <c r="B26" t="str">
        <v>2026-01-12</v>
      </c>
      <c r="C26" t="str">
        <v>2026-01-17</v>
      </c>
      <c r="D26" t="str">
        <v>Day</v>
      </c>
      <c r="E26" t="str">
        <v>Bravo Response Team</v>
      </c>
      <c r="F26">
        <v>2</v>
      </c>
      <c r="G26">
        <v>2</v>
      </c>
      <c r="H26" t="str">
        <v>Yes</v>
      </c>
      <c r="I26">
        <v>0</v>
      </c>
      <c r="J26">
        <v>0</v>
      </c>
    </row>
  </sheetData>
  <ignoredErrors>
    <ignoredError numberStoredAsText="1" sqref="A1:J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KPI-20</v>
      </c>
      <c r="B1" t="str">
        <v>AVOP DA &amp; D Drivers</v>
      </c>
    </row>
    <row r="3">
      <c r="A3" t="str">
        <v>Calculation</v>
      </c>
      <c r="B3" t="str">
        <v>All Response Team members are required to have and maintain an AVOP DA. The minimum required D drivers per shift is two (2). The Contractor must provide a report of the number of shifts where the number of D drivers on shift was less than 2. Each shift not meeting minimum requirements will count as one (1) event.</v>
      </c>
    </row>
    <row r="4">
      <c r="A4" t="str">
        <v>Threshold - Fail</v>
      </c>
      <c r="B4">
        <v>1</v>
      </c>
    </row>
    <row r="5">
      <c r="A5" t="str">
        <v>Threshold - Target</v>
      </c>
      <c r="B5">
        <v>0</v>
      </c>
    </row>
    <row r="6">
      <c r="A6" t="str">
        <v>Threshold - Success</v>
      </c>
      <c r="B6" t="str">
        <v>n/a</v>
      </c>
    </row>
    <row r="7">
      <c r="A7" t="str">
        <v>Damage points</v>
      </c>
      <c r="B7" t="str">
        <v>5 per event</v>
      </c>
    </row>
    <row r="8">
      <c r="A8" t="str">
        <v>Advantage points</v>
      </c>
      <c r="B8" t="str">
        <v>n/a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KPI-20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COUNTA('Shift Log'!A2:A26)</f>
      </c>
    </row>
    <row r="4">
      <c r="A4" t="str">
        <v>Total Damage Points</v>
      </c>
      <c r="B4" t="e">
        <f>SUM('Shift Log'!J2:J26)</f>
      </c>
    </row>
    <row r="5">
      <c r="A5" t="str">
        <v>Avg Damage / Record</v>
      </c>
      <c r="B5" t="e">
        <f>IFERROR(AVERAGE('Shift Log'!J2:J26),0)</f>
      </c>
    </row>
    <row r="6">
      <c r="A6" t="str">
        <v>Records With Damage</v>
      </c>
      <c r="B6" t="e">
        <f>COUNTIF('Shift Log'!J2:J26,"&gt;0")</f>
      </c>
    </row>
    <row r="7">
      <c r="A7" t="str">
        <v>Fail / Breach Count</v>
      </c>
      <c r="B7" t="e">
        <f>COUNTIF('Shift Log'!H2:H26,"*ail*")+COUNTIF('Shift Log'!H2:H26,"*reach*")</f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Shift Log</vt:lpstr>
      <vt:lpstr>KPI Definition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