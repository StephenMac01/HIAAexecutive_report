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  <sheet name="Reference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Event ID</v>
      </c>
      <c r="B1" t="str">
        <v>Shift Date</v>
      </c>
      <c r="C1" t="str">
        <v>Shift Time</v>
      </c>
      <c r="D1" t="str">
        <v>Terminal/Zone</v>
      </c>
      <c r="E1" t="str">
        <v>Post</v>
      </c>
      <c r="F1" t="str">
        <v>Event Type</v>
      </c>
      <c r="G1" t="str">
        <v>Missing Staff</v>
      </c>
      <c r="H1" t="str">
        <v>Report Minutes</v>
      </c>
      <c r="I1" t="str">
        <v>Notice Hours</v>
      </c>
      <c r="J1" t="str">
        <v>Reported To HIAA</v>
      </c>
      <c r="K1" t="str">
        <v>Damage Points</v>
      </c>
      <c r="L1" t="str">
        <v>Reporting Week</v>
      </c>
      <c r="M1" t="str">
        <v>Notes</v>
      </c>
    </row>
    <row r="2">
      <c r="A2" t="str">
        <v>EV-015</v>
      </c>
      <c r="B2" t="str">
        <v>2025-08-04</v>
      </c>
      <c r="C2" t="str">
        <v>23:00</v>
      </c>
      <c r="D2" t="str">
        <v>Terminal 2</v>
      </c>
      <c r="E2" t="str">
        <v>Baggage Hall</v>
      </c>
      <c r="F2" t="str">
        <v>Late Report</v>
      </c>
      <c r="G2">
        <v>1</v>
      </c>
      <c r="H2">
        <v>22</v>
      </c>
      <c r="I2" t="str">
        <v/>
      </c>
      <c r="J2" t="str">
        <v>Yes</v>
      </c>
      <c r="K2">
        <v>10</v>
      </c>
      <c r="L2" t="str">
        <v>2025-W32</v>
      </c>
      <c r="M2" t="str">
        <v>No-show confirmed; HIAA notification exceeded the 5-minute window.</v>
      </c>
    </row>
    <row r="3">
      <c r="A3" t="str">
        <v>EV-013</v>
      </c>
      <c r="B3" t="str">
        <v>2025-08-08</v>
      </c>
      <c r="C3" t="str">
        <v>08:00</v>
      </c>
      <c r="D3" t="str">
        <v>Admin</v>
      </c>
      <c r="E3" t="str">
        <v>Control Room</v>
      </c>
      <c r="F3" t="str">
        <v>Late Report</v>
      </c>
      <c r="G3">
        <v>3</v>
      </c>
      <c r="H3">
        <v>19</v>
      </c>
      <c r="I3" t="str">
        <v/>
      </c>
      <c r="J3" t="str">
        <v>Yes</v>
      </c>
      <c r="K3">
        <v>10</v>
      </c>
      <c r="L3" t="str">
        <v>2025-W32</v>
      </c>
      <c r="M3" t="str">
        <v>No-show confirmed; HIAA notification exceeded the 5-minute window.</v>
      </c>
    </row>
    <row r="4">
      <c r="A4" t="str">
        <v>EV-008</v>
      </c>
      <c r="B4" t="str">
        <v>2025-08-09</v>
      </c>
      <c r="C4" t="str">
        <v>11:00</v>
      </c>
      <c r="D4" t="str">
        <v>Terminal 1</v>
      </c>
      <c r="E4" t="str">
        <v>Curbside</v>
      </c>
      <c r="F4" t="str">
        <v>Late Report</v>
      </c>
      <c r="G4">
        <v>1</v>
      </c>
      <c r="H4">
        <v>18</v>
      </c>
      <c r="I4" t="str">
        <v/>
      </c>
      <c r="J4" t="str">
        <v>Yes</v>
      </c>
      <c r="K4">
        <v>10</v>
      </c>
      <c r="L4" t="str">
        <v>2025-W32</v>
      </c>
      <c r="M4" t="str">
        <v>No-show confirmed; HIAA notification exceeded the 5-minute window.</v>
      </c>
    </row>
    <row r="5">
      <c r="A5" t="str">
        <v>EV-020</v>
      </c>
      <c r="B5" t="str">
        <v>2025-08-11</v>
      </c>
      <c r="C5" t="str">
        <v>16:00</v>
      </c>
      <c r="D5" t="str">
        <v>Landside</v>
      </c>
      <c r="E5" t="str">
        <v>Arrivals Hall</v>
      </c>
      <c r="F5" t="str">
        <v>Late Report</v>
      </c>
      <c r="G5">
        <v>2</v>
      </c>
      <c r="H5">
        <v>16</v>
      </c>
      <c r="I5" t="str">
        <v/>
      </c>
      <c r="J5" t="str">
        <v>Yes</v>
      </c>
      <c r="K5">
        <v>10</v>
      </c>
      <c r="L5" t="str">
        <v>2025-W33</v>
      </c>
      <c r="M5" t="str">
        <v>No-show confirmed; HIAA notification exceeded the 5-minute window.</v>
      </c>
    </row>
    <row r="6">
      <c r="A6" t="str">
        <v>EV-017</v>
      </c>
      <c r="B6" t="str">
        <v>2025-09-03</v>
      </c>
      <c r="C6" t="str">
        <v>19:00</v>
      </c>
      <c r="D6" t="str">
        <v>Airside</v>
      </c>
      <c r="E6" t="str">
        <v>Apron Patrol</v>
      </c>
      <c r="F6" t="str">
        <v>Late Report</v>
      </c>
      <c r="G6">
        <v>2</v>
      </c>
      <c r="H6">
        <v>18</v>
      </c>
      <c r="I6" t="str">
        <v/>
      </c>
      <c r="J6" t="str">
        <v>Yes</v>
      </c>
      <c r="K6">
        <v>10</v>
      </c>
      <c r="L6" t="str">
        <v>2025-W36</v>
      </c>
      <c r="M6" t="str">
        <v>No-show confirmed; HIAA notification exceeded the 5-minute window.</v>
      </c>
    </row>
    <row r="7">
      <c r="A7" t="str">
        <v>EV-011</v>
      </c>
      <c r="B7" t="str">
        <v>2025-10-17</v>
      </c>
      <c r="C7" t="str">
        <v>07:00</v>
      </c>
      <c r="D7" t="str">
        <v>Terminal 2</v>
      </c>
      <c r="E7" t="str">
        <v>Departures Checkpoint</v>
      </c>
      <c r="F7" t="str">
        <v>No Advance Notice</v>
      </c>
      <c r="G7">
        <v>1</v>
      </c>
      <c r="H7" t="str">
        <v/>
      </c>
      <c r="I7">
        <v>7</v>
      </c>
      <c r="J7" t="str">
        <v>Yes</v>
      </c>
      <c r="K7">
        <v>10</v>
      </c>
      <c r="L7" t="str">
        <v>2025-W42</v>
      </c>
      <c r="M7" t="str">
        <v>Known shortage; written notice provided less than 24 hours in advance.</v>
      </c>
    </row>
    <row r="8">
      <c r="A8" t="str">
        <v>EV-025</v>
      </c>
      <c r="B8" t="str">
        <v>2025-10-24</v>
      </c>
      <c r="C8" t="str">
        <v>08:00</v>
      </c>
      <c r="D8" t="str">
        <v>Admin</v>
      </c>
      <c r="E8" t="str">
        <v>Control Room</v>
      </c>
      <c r="F8" t="str">
        <v>No Advance Notice</v>
      </c>
      <c r="G8">
        <v>1</v>
      </c>
      <c r="H8" t="str">
        <v/>
      </c>
      <c r="I8">
        <v>6</v>
      </c>
      <c r="J8" t="str">
        <v>No</v>
      </c>
      <c r="K8">
        <v>10</v>
      </c>
      <c r="L8" t="str">
        <v>2025-W43</v>
      </c>
      <c r="M8" t="str">
        <v>Known shortage; written notice provided less than 24 hours in advance.</v>
      </c>
    </row>
    <row r="9">
      <c r="A9" t="str">
        <v>EV-023</v>
      </c>
      <c r="B9" t="str">
        <v>2025-10-30</v>
      </c>
      <c r="C9" t="str">
        <v>17:00</v>
      </c>
      <c r="D9" t="str">
        <v>Terminal 1</v>
      </c>
      <c r="E9" t="str">
        <v>Screening Lane C</v>
      </c>
      <c r="F9" t="str">
        <v>Late Report</v>
      </c>
      <c r="G9">
        <v>3</v>
      </c>
      <c r="H9">
        <v>10</v>
      </c>
      <c r="I9" t="str">
        <v/>
      </c>
      <c r="J9" t="str">
        <v>Yes</v>
      </c>
      <c r="K9">
        <v>10</v>
      </c>
      <c r="L9" t="str">
        <v>2025-W44</v>
      </c>
      <c r="M9" t="str">
        <v>No-show confirmed; HIAA notification exceeded the 5-minute window.</v>
      </c>
    </row>
    <row r="10">
      <c r="A10" t="str">
        <v>EV-010</v>
      </c>
      <c r="B10" t="str">
        <v>2025-11-03</v>
      </c>
      <c r="C10" t="str">
        <v>09:00</v>
      </c>
      <c r="D10" t="str">
        <v>Terminal 1</v>
      </c>
      <c r="E10" t="str">
        <v>Screening Lane C</v>
      </c>
      <c r="F10" t="str">
        <v>Late Report</v>
      </c>
      <c r="G10">
        <v>3</v>
      </c>
      <c r="H10">
        <v>22</v>
      </c>
      <c r="I10" t="str">
        <v/>
      </c>
      <c r="J10" t="str">
        <v>Yes</v>
      </c>
      <c r="K10">
        <v>10</v>
      </c>
      <c r="L10" t="str">
        <v>2025-W45</v>
      </c>
      <c r="M10" t="str">
        <v>No-show confirmed; HIAA notification exceeded the 5-minute window.</v>
      </c>
    </row>
    <row r="11">
      <c r="A11" t="str">
        <v>EV-007</v>
      </c>
      <c r="B11" t="str">
        <v>2025-12-28</v>
      </c>
      <c r="C11" t="str">
        <v>10:00</v>
      </c>
      <c r="D11" t="str">
        <v>Landside</v>
      </c>
      <c r="E11" t="str">
        <v>Arrivals Hall</v>
      </c>
      <c r="F11" t="str">
        <v>No Advance Notice</v>
      </c>
      <c r="G11">
        <v>3</v>
      </c>
      <c r="H11" t="str">
        <v/>
      </c>
      <c r="I11">
        <v>0</v>
      </c>
      <c r="J11" t="str">
        <v>Yes</v>
      </c>
      <c r="K11">
        <v>10</v>
      </c>
      <c r="L11" t="str">
        <v>2025-W52</v>
      </c>
      <c r="M11" t="str">
        <v>Known shortage; written notice provided less than 24 hours in advance.</v>
      </c>
    </row>
    <row r="12">
      <c r="A12" t="str">
        <v>EV-003</v>
      </c>
      <c r="B12" t="str">
        <v>2026-01-05</v>
      </c>
      <c r="C12" t="str">
        <v>19:00</v>
      </c>
      <c r="D12" t="str">
        <v>Terminal 2</v>
      </c>
      <c r="E12" t="str">
        <v>Baggage Hall</v>
      </c>
      <c r="F12" t="str">
        <v>Late Report</v>
      </c>
      <c r="G12">
        <v>1</v>
      </c>
      <c r="H12">
        <v>25</v>
      </c>
      <c r="I12" t="str">
        <v/>
      </c>
      <c r="J12" t="str">
        <v>Yes</v>
      </c>
      <c r="K12">
        <v>10</v>
      </c>
      <c r="L12" t="str">
        <v>2026-W02</v>
      </c>
      <c r="M12" t="str">
        <v>No-show confirmed; HIAA notification exceeded the 5-minute window.</v>
      </c>
    </row>
    <row r="13">
      <c r="A13" t="str">
        <v>EV-021</v>
      </c>
      <c r="B13" t="str">
        <v>2026-01-09</v>
      </c>
      <c r="C13" t="str">
        <v>06:00</v>
      </c>
      <c r="D13" t="str">
        <v>Cargo</v>
      </c>
      <c r="E13" t="str">
        <v>Gate 4 — Perimeter</v>
      </c>
      <c r="F13" t="str">
        <v>No Advance Notice</v>
      </c>
      <c r="G13">
        <v>1</v>
      </c>
      <c r="H13" t="str">
        <v/>
      </c>
      <c r="I13">
        <v>6</v>
      </c>
      <c r="J13" t="str">
        <v>Yes</v>
      </c>
      <c r="K13">
        <v>10</v>
      </c>
      <c r="L13" t="str">
        <v>2026-W02</v>
      </c>
      <c r="M13" t="str">
        <v>Known shortage; written notice provided less than 24 hours in advance.</v>
      </c>
    </row>
    <row r="14">
      <c r="A14" t="str">
        <v>EV-001</v>
      </c>
      <c r="B14" t="str">
        <v>2026-01-30</v>
      </c>
      <c r="C14" t="str">
        <v>10:00</v>
      </c>
      <c r="D14" t="str">
        <v>Terminal 1</v>
      </c>
      <c r="E14" t="str">
        <v>Curbside</v>
      </c>
      <c r="F14" t="str">
        <v>No Advance Notice</v>
      </c>
      <c r="G14">
        <v>1</v>
      </c>
      <c r="H14" t="str">
        <v/>
      </c>
      <c r="I14">
        <v>19</v>
      </c>
      <c r="J14" t="str">
        <v>Yes</v>
      </c>
      <c r="K14">
        <v>10</v>
      </c>
      <c r="L14" t="str">
        <v>2026-W05</v>
      </c>
      <c r="M14" t="str">
        <v>Known shortage; written notice provided less than 24 hours in advance.</v>
      </c>
    </row>
    <row r="15">
      <c r="A15" t="str">
        <v>EV-014</v>
      </c>
      <c r="B15" t="str">
        <v>2026-02-02</v>
      </c>
      <c r="C15" t="str">
        <v>12:00</v>
      </c>
      <c r="D15" t="str">
        <v>Admin</v>
      </c>
      <c r="E15" t="str">
        <v>Control Room</v>
      </c>
      <c r="F15" t="str">
        <v>Late Report</v>
      </c>
      <c r="G15">
        <v>2</v>
      </c>
      <c r="H15">
        <v>10</v>
      </c>
      <c r="I15" t="str">
        <v/>
      </c>
      <c r="J15" t="str">
        <v>Yes</v>
      </c>
      <c r="K15">
        <v>10</v>
      </c>
      <c r="L15" t="str">
        <v>2026-W06</v>
      </c>
      <c r="M15" t="str">
        <v>No-show confirmed; HIAA notification exceeded the 5-minute window.</v>
      </c>
    </row>
    <row r="16">
      <c r="A16" t="str">
        <v>EV-000</v>
      </c>
      <c r="B16" t="str">
        <v>2026-02-20</v>
      </c>
      <c r="C16" t="str">
        <v>19:00</v>
      </c>
      <c r="D16" t="str">
        <v>Cargo</v>
      </c>
      <c r="E16" t="str">
        <v>Gate 4 — Perimeter</v>
      </c>
      <c r="F16" t="str">
        <v>Late Report</v>
      </c>
      <c r="G16">
        <v>3</v>
      </c>
      <c r="H16">
        <v>19</v>
      </c>
      <c r="I16" t="str">
        <v/>
      </c>
      <c r="J16" t="str">
        <v>Yes</v>
      </c>
      <c r="K16">
        <v>10</v>
      </c>
      <c r="L16" t="str">
        <v>2026-W08</v>
      </c>
      <c r="M16" t="str">
        <v>No-show confirmed; HIAA notification exceeded the 5-minute window.</v>
      </c>
    </row>
    <row r="17">
      <c r="A17" t="str">
        <v>EV-016</v>
      </c>
      <c r="B17" t="str">
        <v>2026-02-25</v>
      </c>
      <c r="C17" t="str">
        <v>16:00</v>
      </c>
      <c r="D17" t="str">
        <v>Terminal 1</v>
      </c>
      <c r="E17" t="str">
        <v>Screening Lane C</v>
      </c>
      <c r="F17" t="str">
        <v>Late Report</v>
      </c>
      <c r="G17">
        <v>2</v>
      </c>
      <c r="H17">
        <v>8</v>
      </c>
      <c r="I17" t="str">
        <v/>
      </c>
      <c r="J17" t="str">
        <v>Yes</v>
      </c>
      <c r="K17">
        <v>10</v>
      </c>
      <c r="L17" t="str">
        <v>2026-W09</v>
      </c>
      <c r="M17" t="str">
        <v>No-show confirmed; HIAA notification exceeded the 5-minute window.</v>
      </c>
    </row>
    <row r="18">
      <c r="A18" t="str">
        <v>EV-022</v>
      </c>
      <c r="B18" t="str">
        <v>2026-03-11</v>
      </c>
      <c r="C18" t="str">
        <v>18:00</v>
      </c>
      <c r="D18" t="str">
        <v>Terminal 2</v>
      </c>
      <c r="E18" t="str">
        <v>Baggage Hall</v>
      </c>
      <c r="F18" t="str">
        <v>Late Report</v>
      </c>
      <c r="G18">
        <v>1</v>
      </c>
      <c r="H18">
        <v>23</v>
      </c>
      <c r="I18" t="str">
        <v/>
      </c>
      <c r="J18" t="str">
        <v>Yes</v>
      </c>
      <c r="K18">
        <v>10</v>
      </c>
      <c r="L18" t="str">
        <v>2026-W11</v>
      </c>
      <c r="M18" t="str">
        <v>No-show confirmed; HIAA notification exceeded the 5-minute window.</v>
      </c>
    </row>
    <row r="19">
      <c r="A19" t="str">
        <v>EV-006</v>
      </c>
      <c r="B19" t="str">
        <v>2026-03-17</v>
      </c>
      <c r="C19" t="str">
        <v>09:00</v>
      </c>
      <c r="D19" t="str">
        <v>Admin</v>
      </c>
      <c r="E19" t="str">
        <v>Control Room</v>
      </c>
      <c r="F19" t="str">
        <v>Late Report</v>
      </c>
      <c r="G19">
        <v>3</v>
      </c>
      <c r="H19">
        <v>22</v>
      </c>
      <c r="I19" t="str">
        <v/>
      </c>
      <c r="J19" t="str">
        <v>Yes</v>
      </c>
      <c r="K19">
        <v>10</v>
      </c>
      <c r="L19" t="str">
        <v>2026-W12</v>
      </c>
      <c r="M19" t="str">
        <v>No-show confirmed; HIAA notification exceeded the 5-minute window.</v>
      </c>
    </row>
    <row r="20">
      <c r="A20" t="str">
        <v>EV-002</v>
      </c>
      <c r="B20" t="str">
        <v>2026-03-23</v>
      </c>
      <c r="C20" t="str">
        <v>22:00</v>
      </c>
      <c r="D20" t="str">
        <v>Terminal 2</v>
      </c>
      <c r="E20" t="str">
        <v>Departures Checkpoint</v>
      </c>
      <c r="F20" t="str">
        <v>No Advance Notice</v>
      </c>
      <c r="G20">
        <v>1</v>
      </c>
      <c r="H20" t="str">
        <v/>
      </c>
      <c r="I20">
        <v>16</v>
      </c>
      <c r="J20" t="str">
        <v>Yes</v>
      </c>
      <c r="K20">
        <v>10</v>
      </c>
      <c r="L20" t="str">
        <v>2026-W13</v>
      </c>
      <c r="M20" t="str">
        <v>Known shortage; written notice provided less than 24 hours in advance.</v>
      </c>
    </row>
    <row r="21">
      <c r="A21" t="str">
        <v>EV-019</v>
      </c>
      <c r="B21" t="str">
        <v>2026-04-05</v>
      </c>
      <c r="C21" t="str">
        <v>15:00</v>
      </c>
      <c r="D21" t="str">
        <v>Cargo</v>
      </c>
      <c r="E21" t="str">
        <v>Gate 4 — Perimeter</v>
      </c>
      <c r="F21" t="str">
        <v>No Advance Notice</v>
      </c>
      <c r="G21">
        <v>1</v>
      </c>
      <c r="H21" t="str">
        <v/>
      </c>
      <c r="I21">
        <v>8</v>
      </c>
      <c r="J21" t="str">
        <v>Yes</v>
      </c>
      <c r="K21">
        <v>10</v>
      </c>
      <c r="L21" t="str">
        <v>2026-W14</v>
      </c>
      <c r="M21" t="str">
        <v>Known shortage; written notice provided less than 24 hours in advance.</v>
      </c>
    </row>
    <row r="22">
      <c r="A22" t="str">
        <v>EV-028</v>
      </c>
      <c r="B22" t="str">
        <v>2026-04-10</v>
      </c>
      <c r="C22" t="str">
        <v>16:00</v>
      </c>
      <c r="D22" t="str">
        <v>Admin</v>
      </c>
      <c r="E22" t="str">
        <v>Control Room</v>
      </c>
      <c r="F22" t="str">
        <v>Late Report</v>
      </c>
      <c r="G22">
        <v>1</v>
      </c>
      <c r="H22">
        <v>21</v>
      </c>
      <c r="I22" t="str">
        <v/>
      </c>
      <c r="J22" t="str">
        <v>Yes</v>
      </c>
      <c r="K22">
        <v>10</v>
      </c>
      <c r="L22" t="str">
        <v>2026-W15</v>
      </c>
      <c r="M22" t="str">
        <v>No-show confirmed; HIAA notification exceeded the 5-minute window.</v>
      </c>
    </row>
    <row r="23">
      <c r="A23" t="str">
        <v>EV-009</v>
      </c>
      <c r="B23" t="str">
        <v>2026-04-14</v>
      </c>
      <c r="C23" t="str">
        <v>16:00</v>
      </c>
      <c r="D23" t="str">
        <v>Cargo</v>
      </c>
      <c r="E23" t="str">
        <v>Inbound Dock 2</v>
      </c>
      <c r="F23" t="str">
        <v>Late Report</v>
      </c>
      <c r="G23">
        <v>2</v>
      </c>
      <c r="H23">
        <v>7</v>
      </c>
      <c r="I23" t="str">
        <v/>
      </c>
      <c r="J23" t="str">
        <v>Yes</v>
      </c>
      <c r="K23">
        <v>10</v>
      </c>
      <c r="L23" t="str">
        <v>2026-W16</v>
      </c>
      <c r="M23" t="str">
        <v>No-show confirmed; HIAA notification exceeded the 5-minute window.</v>
      </c>
    </row>
    <row r="24">
      <c r="A24" t="str">
        <v>EV-024</v>
      </c>
      <c r="B24" t="str">
        <v>2026-04-25</v>
      </c>
      <c r="C24" t="str">
        <v>09:00</v>
      </c>
      <c r="D24" t="str">
        <v>Landside</v>
      </c>
      <c r="E24" t="str">
        <v>Arrivals Hall</v>
      </c>
      <c r="F24" t="str">
        <v>No Advance Notice</v>
      </c>
      <c r="G24">
        <v>1</v>
      </c>
      <c r="H24" t="str">
        <v/>
      </c>
      <c r="I24">
        <v>3</v>
      </c>
      <c r="J24" t="str">
        <v>Yes</v>
      </c>
      <c r="K24">
        <v>10</v>
      </c>
      <c r="L24" t="str">
        <v>2026-W17</v>
      </c>
      <c r="M24" t="str">
        <v>Known shortage; written notice provided less than 24 hours in advance.</v>
      </c>
    </row>
    <row r="25">
      <c r="A25" t="str">
        <v>EV-005</v>
      </c>
      <c r="B25" t="str">
        <v>2026-04-26</v>
      </c>
      <c r="C25" t="str">
        <v>15:00</v>
      </c>
      <c r="D25" t="str">
        <v>Terminal 2</v>
      </c>
      <c r="E25" t="str">
        <v>Baggage Hall</v>
      </c>
      <c r="F25" t="str">
        <v>Late Report</v>
      </c>
      <c r="G25">
        <v>1</v>
      </c>
      <c r="H25">
        <v>17</v>
      </c>
      <c r="I25" t="str">
        <v/>
      </c>
      <c r="J25" t="str">
        <v>Yes</v>
      </c>
      <c r="K25">
        <v>10</v>
      </c>
      <c r="L25" t="str">
        <v>2026-W17</v>
      </c>
      <c r="M25" t="str">
        <v>No-show confirmed; HIAA notification exceeded the 5-minute window.</v>
      </c>
    </row>
    <row r="26">
      <c r="A26" t="str">
        <v>EV-027</v>
      </c>
      <c r="B26" t="str">
        <v>2026-04-30</v>
      </c>
      <c r="C26" t="str">
        <v>13:00</v>
      </c>
      <c r="D26" t="str">
        <v>Terminal 2</v>
      </c>
      <c r="E26" t="str">
        <v>Baggage Hall</v>
      </c>
      <c r="F26" t="str">
        <v>Late Report</v>
      </c>
      <c r="G26">
        <v>2</v>
      </c>
      <c r="H26">
        <v>19</v>
      </c>
      <c r="I26" t="str">
        <v/>
      </c>
      <c r="J26" t="str">
        <v>Yes</v>
      </c>
      <c r="K26">
        <v>10</v>
      </c>
      <c r="L26" t="str">
        <v>2026-W18</v>
      </c>
      <c r="M26" t="str">
        <v>No-show confirmed; HIAA notification exceeded the 5-minute window.</v>
      </c>
    </row>
  </sheetData>
  <ignoredErrors>
    <ignoredError numberStoredAsText="1" sqref="A1:M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KPI-04 — Unreported Absent Posts</v>
      </c>
    </row>
    <row r="3">
      <c r="A3" t="str">
        <v>Rule</v>
      </c>
      <c r="B3" t="str">
        <v>Value</v>
      </c>
    </row>
    <row r="4">
      <c r="A4" t="str">
        <v>Damage points per event</v>
      </c>
      <c r="B4">
        <v>10</v>
      </c>
    </row>
    <row r="5">
      <c r="A5" t="str">
        <v>Threshold — Fail</v>
      </c>
      <c r="B5">
        <v>1</v>
      </c>
    </row>
    <row r="6">
      <c r="A6" t="str">
        <v>Threshold — Target</v>
      </c>
      <c r="B6">
        <v>0</v>
      </c>
    </row>
    <row r="7">
      <c r="A7" t="str">
        <v>Threshold — Success</v>
      </c>
      <c r="B7">
        <v>0</v>
      </c>
    </row>
    <row r="8">
      <c r="A8" t="str">
        <v>Late Report SLA (minutes)</v>
      </c>
      <c r="B8">
        <v>5</v>
      </c>
    </row>
    <row r="9">
      <c r="A9" t="str">
        <v>Advance Notice required (hours)</v>
      </c>
      <c r="B9">
        <v>24</v>
      </c>
    </row>
    <row r="11">
      <c r="A11" t="str">
        <v>How to add data:</v>
      </c>
      <c r="B11" t="str">
        <v>Append one row per event to the 'Events' sheet.</v>
      </c>
    </row>
    <row r="12">
      <c r="A12" t="str">
        <v>Event Type must be:</v>
      </c>
      <c r="B12" t="str">
        <v>Late Report  OR  No Advance Notice</v>
      </c>
    </row>
    <row r="13">
      <c r="A13" t="str">
        <v>Late Report events:</v>
      </c>
      <c r="B13" t="str">
        <v>Fill 'Report Minutes' (leave 'Notice Hours' blank)</v>
      </c>
    </row>
    <row r="14">
      <c r="A14" t="str">
        <v>No Advance Notice events:</v>
      </c>
      <c r="B14" t="str">
        <v>Fill 'Notice Hours' (leave 'Report Minutes' blank)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KPI-04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COUNTA('Events'!A2:A26)</f>
      </c>
    </row>
    <row r="4">
      <c r="A4" t="str">
        <v>Total Damage Points</v>
      </c>
      <c r="B4" t="e">
        <f>SUM('Events'!K2:K26)</f>
      </c>
    </row>
    <row r="5">
      <c r="A5" t="str">
        <v>Avg Damage / Record</v>
      </c>
      <c r="B5" t="e">
        <f>IFERROR(AVERAGE('Events'!K2:K26),0)</f>
      </c>
    </row>
    <row r="6">
      <c r="A6" t="str">
        <v>Records With Damage</v>
      </c>
      <c r="B6" t="e">
        <f>COUNTIF('Events'!K2:K26,"&gt;0")</f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Reference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