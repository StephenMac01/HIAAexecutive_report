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KPI Definition" sheetId="2" r:id="rId2"/>
    <sheet name="Event Log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KPI-13 — Shift Briefings · How to use this workbook</v>
      </c>
    </row>
    <row r="3">
      <c r="A3" t="str">
        <v>This workbook powers the KPI-13 dashboard. The dashboard reads the 'Event Log'</v>
      </c>
    </row>
    <row r="4">
      <c r="A4" t="str">
        <v>sheet, so every row you add, edit, or remove here changes the dashboard.</v>
      </c>
    </row>
    <row r="6">
      <c r="A6" t="str">
        <v>Adding data each week:</v>
      </c>
    </row>
    <row r="7">
      <c r="A7" t="str">
        <v>1. Go to the 'Event Log' sheet.</v>
      </c>
    </row>
    <row r="8">
      <c r="A8" t="str">
        <v>2. Add ONE row for every briefing failure event that occurred.</v>
      </c>
    </row>
    <row r="9">
      <c r="A9" t="str">
        <v>3. Fill in each column (see definitions below). Do not rename the header row.</v>
      </c>
    </row>
    <row r="10">
      <c r="A10" t="str">
        <v>4. 'Damage Points' is always 2 (one event = 2 damage points).</v>
      </c>
    </row>
    <row r="11">
      <c r="A11" t="str">
        <v>5. Save the file with the same name and re-upload / redeploy.</v>
      </c>
    </row>
    <row r="13">
      <c r="A13" t="str">
        <v>Column</v>
      </c>
      <c r="B13" t="str">
        <v>Definition</v>
      </c>
      <c r="C13" t="str">
        <v>Example</v>
      </c>
    </row>
    <row r="14">
      <c r="A14" t="str">
        <v>Event ID</v>
      </c>
      <c r="B14" t="str">
        <v>Unique ID for the event. Suggested: EVT-MMDD.</v>
      </c>
      <c r="C14" t="str">
        <v>EVT-0705</v>
      </c>
    </row>
    <row r="15">
      <c r="A15" t="str">
        <v>Date</v>
      </c>
      <c r="B15" t="str">
        <v>Date the event occurred (YYYY-MM-DD).</v>
      </c>
      <c r="C15" t="str">
        <v>2026-07-05</v>
      </c>
    </row>
    <row r="16">
      <c r="A16" t="str">
        <v>Week</v>
      </c>
      <c r="B16" t="str">
        <v>Reporting week label. Leave as Week 1–5 for the period.</v>
      </c>
      <c r="C16" t="str">
        <v>Week 6</v>
      </c>
    </row>
    <row r="17">
      <c r="A17" t="str">
        <v>Week Starting</v>
      </c>
      <c r="B17" t="str">
        <v>Monday date of that reporting week (YYYY-MM-DD).</v>
      </c>
      <c r="C17" t="str">
        <v>2026-07-06</v>
      </c>
    </row>
    <row r="18">
      <c r="A18" t="str">
        <v>Shift</v>
      </c>
      <c r="B18" t="str">
        <v>One of: Day, Swing, Night.</v>
      </c>
      <c r="C18" t="str">
        <v>Night</v>
      </c>
    </row>
    <row r="19">
      <c r="A19" t="str">
        <v>Team Lead</v>
      </c>
      <c r="B19" t="str">
        <v>Name of the responsible Team Lead.</v>
      </c>
      <c r="C19" t="str">
        <v>S. Delgado</v>
      </c>
    </row>
    <row r="20">
      <c r="A20" t="str">
        <v>Post</v>
      </c>
      <c r="B20" t="str">
        <v>Post/location where the briefing was due.</v>
      </c>
      <c r="C20" t="str">
        <v>Perimeter North</v>
      </c>
    </row>
    <row r="21">
      <c r="A21" t="str">
        <v>Description</v>
      </c>
      <c r="B21" t="str">
        <v>What operational/security info was missed or why briefing failed.</v>
      </c>
      <c r="C21" t="str">
        <v>Briefing not conducted at handover.</v>
      </c>
    </row>
    <row r="22">
      <c r="A22" t="str">
        <v>Status</v>
      </c>
      <c r="B22" t="str">
        <v>One of: Missed Briefing, Incomplete Info, Late Briefing.</v>
      </c>
      <c r="C22" t="str">
        <v>Missed Briefing</v>
      </c>
    </row>
    <row r="23">
      <c r="A23" t="str">
        <v>Damage Points</v>
      </c>
      <c r="B23" t="str">
        <v>Always 2 per event.</v>
      </c>
      <c r="C23" t="str">
        <v>2</v>
      </c>
    </row>
    <row r="25">
      <c r="A25" t="str">
        <v>Thresholds</v>
      </c>
      <c r="B25" t="str">
        <v/>
      </c>
    </row>
    <row r="26">
      <c r="A26" t="str">
        <v>Fail</v>
      </c>
      <c r="B26">
        <v>1</v>
      </c>
    </row>
    <row r="27">
      <c r="A27" t="str">
        <v>Target</v>
      </c>
      <c r="B27">
        <v>0</v>
      </c>
    </row>
    <row r="28">
      <c r="A28" t="str">
        <v>Success</v>
      </c>
      <c r="B28" t="str">
        <v>n/a</v>
      </c>
    </row>
    <row r="29">
      <c r="A29" t="str">
        <v>Damage points</v>
      </c>
      <c r="B29" t="str">
        <v>2 per event</v>
      </c>
    </row>
    <row r="30">
      <c r="A30" t="str">
        <v>Advantage points</v>
      </c>
      <c r="B30" t="str">
        <v>n/a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KPI-13</v>
      </c>
      <c r="B1" t="str">
        <v>Shift briefings</v>
      </c>
    </row>
    <row r="2">
      <c r="A2" t="str">
        <v>Calculation</v>
      </c>
      <c r="B2" t="str">
        <v>Team Leads are required to conduct shift briefings in accordance with applicable HIAA post orders, operational procedures, and documented briefing requirements. A failure to conduct or communicate required operational or security information during a shift briefing will count as one (1) event.</v>
      </c>
    </row>
    <row r="4">
      <c r="A4" t="str">
        <v>Threshold — Fail</v>
      </c>
      <c r="B4">
        <v>1</v>
      </c>
    </row>
    <row r="5">
      <c r="A5" t="str">
        <v>Threshold — Target</v>
      </c>
      <c r="B5">
        <v>0</v>
      </c>
    </row>
    <row r="6">
      <c r="A6" t="str">
        <v>Threshold — Success</v>
      </c>
      <c r="B6" t="str">
        <v>n/a</v>
      </c>
    </row>
    <row r="7">
      <c r="A7" t="str">
        <v>Damage points</v>
      </c>
      <c r="B7" t="str">
        <v>2 per event</v>
      </c>
    </row>
    <row r="8">
      <c r="A8" t="str">
        <v>Advantage points</v>
      </c>
      <c r="B8" t="str">
        <v>n/a</v>
      </c>
    </row>
    <row r="10">
      <c r="A10" t="str">
        <v>Reporting period</v>
      </c>
      <c r="B10" t="str">
        <v>June 2026</v>
      </c>
    </row>
    <row r="11">
      <c r="A11" t="str">
        <v>Contractor</v>
      </c>
      <c r="B11" t="str">
        <v>HIAA Security Services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Event ID</v>
      </c>
      <c r="B1" t="str">
        <v>Date</v>
      </c>
      <c r="C1" t="str">
        <v>Week</v>
      </c>
      <c r="D1" t="str">
        <v>Week Starting</v>
      </c>
      <c r="E1" t="str">
        <v>Shift</v>
      </c>
      <c r="F1" t="str">
        <v>Team Lead</v>
      </c>
      <c r="G1" t="str">
        <v>Post</v>
      </c>
      <c r="H1" t="str">
        <v>Description</v>
      </c>
      <c r="I1" t="str">
        <v>Status</v>
      </c>
      <c r="J1" t="str">
        <v>Damage Points</v>
      </c>
    </row>
    <row r="2">
      <c r="A2" t="str">
        <v>EVT-0601</v>
      </c>
      <c r="B2" t="str">
        <v>2026-06-01</v>
      </c>
      <c r="C2" t="str">
        <v>Week 1</v>
      </c>
      <c r="D2" t="str">
        <v>2026-06-01</v>
      </c>
      <c r="E2" t="str">
        <v>Day</v>
      </c>
      <c r="F2" t="str">
        <v>A. Ferreira</v>
      </c>
      <c r="G2" t="str">
        <v>Terminal 1 — Checkpoint A</v>
      </c>
      <c r="H2" t="str">
        <v>Briefing conducted but new badge revocation list not communicated.</v>
      </c>
      <c r="I2" t="str">
        <v>Incomplete Info</v>
      </c>
      <c r="J2">
        <v>2</v>
      </c>
    </row>
    <row r="3">
      <c r="A3" t="str">
        <v>EVT-0602</v>
      </c>
      <c r="B3" t="str">
        <v>2026-06-02</v>
      </c>
      <c r="C3" t="str">
        <v>Week 1</v>
      </c>
      <c r="D3" t="str">
        <v>2026-06-01</v>
      </c>
      <c r="E3" t="str">
        <v>Night</v>
      </c>
      <c r="F3" t="str">
        <v>S. Delgado</v>
      </c>
      <c r="G3" t="str">
        <v>Perimeter North</v>
      </c>
      <c r="H3" t="str">
        <v>Night shift briefing not conducted; no relief handover documented.</v>
      </c>
      <c r="I3" t="str">
        <v>Missed Briefing</v>
      </c>
      <c r="J3">
        <v>2</v>
      </c>
    </row>
    <row r="4">
      <c r="A4" t="str">
        <v>EVT-0603</v>
      </c>
      <c r="B4" t="str">
        <v>2026-06-03</v>
      </c>
      <c r="C4" t="str">
        <v>Week 1</v>
      </c>
      <c r="D4" t="str">
        <v>2026-06-01</v>
      </c>
      <c r="E4" t="str">
        <v>Swing</v>
      </c>
      <c r="F4" t="str">
        <v>J. Wong</v>
      </c>
      <c r="G4" t="str">
        <v>Ramp Control</v>
      </c>
      <c r="H4" t="str">
        <v>Briefing started 18 minutes late; oncoming officers already posted.</v>
      </c>
      <c r="I4" t="str">
        <v>Late Briefing</v>
      </c>
      <c r="J4">
        <v>2</v>
      </c>
    </row>
    <row r="5">
      <c r="A5" t="str">
        <v>EVT-0605</v>
      </c>
      <c r="B5" t="str">
        <v>2026-06-05</v>
      </c>
      <c r="C5" t="str">
        <v>Week 1</v>
      </c>
      <c r="D5" t="str">
        <v>2026-06-01</v>
      </c>
      <c r="E5" t="str">
        <v>Swing</v>
      </c>
      <c r="F5" t="str">
        <v>J. Wong</v>
      </c>
      <c r="G5" t="str">
        <v>Terminal 2 — Checkpoint B</v>
      </c>
      <c r="H5" t="str">
        <v>Updated TSA screening advisory not communicated to oncoming officers.</v>
      </c>
      <c r="I5" t="str">
        <v>Incomplete Info</v>
      </c>
      <c r="J5">
        <v>2</v>
      </c>
    </row>
    <row r="6">
      <c r="A6" t="str">
        <v>EVT-0606</v>
      </c>
      <c r="B6" t="str">
        <v>2026-06-06</v>
      </c>
      <c r="C6" t="str">
        <v>Week 1</v>
      </c>
      <c r="D6" t="str">
        <v>2026-06-01</v>
      </c>
      <c r="E6" t="str">
        <v>Night</v>
      </c>
      <c r="F6" t="str">
        <v>L. Nakamura</v>
      </c>
      <c r="G6" t="str">
        <v>Cargo Gate 4</v>
      </c>
      <c r="H6" t="str">
        <v>Shift briefing skipped during staffing shortage.</v>
      </c>
      <c r="I6" t="str">
        <v>Missed Briefing</v>
      </c>
      <c r="J6">
        <v>2</v>
      </c>
    </row>
    <row r="7">
      <c r="A7" t="str">
        <v>EVT-0608</v>
      </c>
      <c r="B7" t="str">
        <v>2026-06-08</v>
      </c>
      <c r="C7" t="str">
        <v>Week 2</v>
      </c>
      <c r="D7" t="str">
        <v>2026-06-08</v>
      </c>
      <c r="E7" t="str">
        <v>Day</v>
      </c>
      <c r="F7" t="str">
        <v>M. Kealoha</v>
      </c>
      <c r="G7" t="str">
        <v>Perimeter South</v>
      </c>
      <c r="H7" t="str">
        <v>Briefing held; failed to cover updated vehicle inspection procedure.</v>
      </c>
      <c r="I7" t="str">
        <v>Incomplete Info</v>
      </c>
      <c r="J7">
        <v>2</v>
      </c>
    </row>
    <row r="8">
      <c r="A8" t="str">
        <v>EVT-0609</v>
      </c>
      <c r="B8" t="str">
        <v>2026-06-09</v>
      </c>
      <c r="C8" t="str">
        <v>Week 2</v>
      </c>
      <c r="D8" t="str">
        <v>2026-06-08</v>
      </c>
      <c r="E8" t="str">
        <v>Day</v>
      </c>
      <c r="F8" t="str">
        <v>A. Ferreira</v>
      </c>
      <c r="G8" t="str">
        <v>Cargo Gate 4</v>
      </c>
      <c r="H8" t="str">
        <v>Briefing started 22 minutes late; access control changes missed.</v>
      </c>
      <c r="I8" t="str">
        <v>Late Briefing</v>
      </c>
      <c r="J8">
        <v>2</v>
      </c>
    </row>
    <row r="9">
      <c r="A9" t="str">
        <v>EVT-0611</v>
      </c>
      <c r="B9" t="str">
        <v>2026-06-11</v>
      </c>
      <c r="C9" t="str">
        <v>Week 2</v>
      </c>
      <c r="D9" t="str">
        <v>2026-06-08</v>
      </c>
      <c r="E9" t="str">
        <v>Night</v>
      </c>
      <c r="F9" t="str">
        <v>S. Delgado</v>
      </c>
      <c r="G9" t="str">
        <v>Perimeter North</v>
      </c>
      <c r="H9" t="str">
        <v>No documented briefing at shift change.</v>
      </c>
      <c r="I9" t="str">
        <v>Missed Briefing</v>
      </c>
      <c r="J9">
        <v>2</v>
      </c>
    </row>
    <row r="10">
      <c r="A10" t="str">
        <v>EVT-0612</v>
      </c>
      <c r="B10" t="str">
        <v>2026-06-12</v>
      </c>
      <c r="C10" t="str">
        <v>Week 2</v>
      </c>
      <c r="D10" t="str">
        <v>2026-06-08</v>
      </c>
      <c r="E10" t="str">
        <v>Swing</v>
      </c>
      <c r="F10" t="str">
        <v>R. Tanaka</v>
      </c>
      <c r="G10" t="str">
        <v>Terminal 1 — Checkpoint A</v>
      </c>
      <c r="H10" t="str">
        <v>Radio channel reassignment not relayed to oncoming team.</v>
      </c>
      <c r="I10" t="str">
        <v>Incomplete Info</v>
      </c>
      <c r="J10">
        <v>2</v>
      </c>
    </row>
    <row r="11">
      <c r="A11" t="str">
        <v>EVT-0614</v>
      </c>
      <c r="B11" t="str">
        <v>2026-06-14</v>
      </c>
      <c r="C11" t="str">
        <v>Week 2</v>
      </c>
      <c r="D11" t="str">
        <v>2026-06-08</v>
      </c>
      <c r="E11" t="str">
        <v>Night</v>
      </c>
      <c r="F11" t="str">
        <v>S. Delgado</v>
      </c>
      <c r="G11" t="str">
        <v>Perimeter South</v>
      </c>
      <c r="H11" t="str">
        <v>Perimeter camera outage not relayed during shift briefing.</v>
      </c>
      <c r="I11" t="str">
        <v>Incomplete Info</v>
      </c>
      <c r="J11">
        <v>2</v>
      </c>
    </row>
    <row r="12">
      <c r="A12" t="str">
        <v>EVT-0615</v>
      </c>
      <c r="B12" t="str">
        <v>2026-06-15</v>
      </c>
      <c r="C12" t="str">
        <v>Week 3</v>
      </c>
      <c r="D12" t="str">
        <v>2026-06-15</v>
      </c>
      <c r="E12" t="str">
        <v>Day</v>
      </c>
      <c r="F12" t="str">
        <v>M. Kealoha</v>
      </c>
      <c r="G12" t="str">
        <v>Terminal 2 — Checkpoint B</v>
      </c>
      <c r="H12" t="str">
        <v>Briefing began 15 minutes late following a late relief arrival.</v>
      </c>
      <c r="I12" t="str">
        <v>Late Briefing</v>
      </c>
      <c r="J12">
        <v>2</v>
      </c>
    </row>
    <row r="13">
      <c r="A13" t="str">
        <v>EVT-0616</v>
      </c>
      <c r="B13" t="str">
        <v>2026-06-16</v>
      </c>
      <c r="C13" t="str">
        <v>Week 3</v>
      </c>
      <c r="D13" t="str">
        <v>2026-06-15</v>
      </c>
      <c r="E13" t="str">
        <v>Swing</v>
      </c>
      <c r="F13" t="str">
        <v>J. Wong</v>
      </c>
      <c r="G13" t="str">
        <v>Ramp Control</v>
      </c>
      <c r="H13" t="str">
        <v>Briefing not conducted; team lead pulled to cover post.</v>
      </c>
      <c r="I13" t="str">
        <v>Missed Briefing</v>
      </c>
      <c r="J13">
        <v>2</v>
      </c>
    </row>
    <row r="14">
      <c r="A14" t="str">
        <v>EVT-0618</v>
      </c>
      <c r="B14" t="str">
        <v>2026-06-18</v>
      </c>
      <c r="C14" t="str">
        <v>Week 3</v>
      </c>
      <c r="D14" t="str">
        <v>2026-06-15</v>
      </c>
      <c r="E14" t="str">
        <v>Swing</v>
      </c>
      <c r="F14" t="str">
        <v>R. Tanaka</v>
      </c>
      <c r="G14" t="str">
        <v>Ramp Control</v>
      </c>
      <c r="H14" t="str">
        <v>Briefing not conducted due to unfilled Team Lead position.</v>
      </c>
      <c r="I14" t="str">
        <v>Missed Briefing</v>
      </c>
      <c r="J14">
        <v>2</v>
      </c>
    </row>
    <row r="15">
      <c r="A15" t="str">
        <v>EVT-0619</v>
      </c>
      <c r="B15" t="str">
        <v>2026-06-19</v>
      </c>
      <c r="C15" t="str">
        <v>Week 3</v>
      </c>
      <c r="D15" t="str">
        <v>2026-06-15</v>
      </c>
      <c r="E15" t="str">
        <v>Day</v>
      </c>
      <c r="F15" t="str">
        <v>A. Ferreira</v>
      </c>
      <c r="G15" t="str">
        <v>Terminal 1 — Checkpoint A</v>
      </c>
      <c r="H15" t="str">
        <v>Emergency evacuation route change not communicated.</v>
      </c>
      <c r="I15" t="str">
        <v>Incomplete Info</v>
      </c>
      <c r="J15">
        <v>2</v>
      </c>
    </row>
    <row r="16">
      <c r="A16" t="str">
        <v>EVT-0620</v>
      </c>
      <c r="B16" t="str">
        <v>2026-06-20</v>
      </c>
      <c r="C16" t="str">
        <v>Week 3</v>
      </c>
      <c r="D16" t="str">
        <v>2026-06-15</v>
      </c>
      <c r="E16" t="str">
        <v>Night</v>
      </c>
      <c r="F16" t="str">
        <v>L. Nakamura</v>
      </c>
      <c r="G16" t="str">
        <v>Perimeter North</v>
      </c>
      <c r="H16" t="str">
        <v>Briefing started 25 minutes late.</v>
      </c>
      <c r="I16" t="str">
        <v>Late Briefing</v>
      </c>
      <c r="J16">
        <v>2</v>
      </c>
    </row>
    <row r="17">
      <c r="A17" t="str">
        <v>EVT-0621</v>
      </c>
      <c r="B17" t="str">
        <v>2026-06-21</v>
      </c>
      <c r="C17" t="str">
        <v>Week 3</v>
      </c>
      <c r="D17" t="str">
        <v>2026-06-15</v>
      </c>
      <c r="E17" t="str">
        <v>Night</v>
      </c>
      <c r="F17" t="str">
        <v>S. Delgado</v>
      </c>
      <c r="G17" t="str">
        <v>Cargo Gate 4</v>
      </c>
      <c r="H17" t="str">
        <v>Shift briefing skipped; no operational log entry recorded.</v>
      </c>
      <c r="I17" t="str">
        <v>Missed Briefing</v>
      </c>
      <c r="J17">
        <v>2</v>
      </c>
    </row>
    <row r="18">
      <c r="A18" t="str">
        <v>EVT-0622</v>
      </c>
      <c r="B18" t="str">
        <v>2026-06-22</v>
      </c>
      <c r="C18" t="str">
        <v>Week 4</v>
      </c>
      <c r="D18" t="str">
        <v>2026-06-22</v>
      </c>
      <c r="E18" t="str">
        <v>Day</v>
      </c>
      <c r="F18" t="str">
        <v>M. Kealoha</v>
      </c>
      <c r="G18" t="str">
        <v>Perimeter South</v>
      </c>
      <c r="H18" t="str">
        <v>Briefing held; updated credential list not distributed.</v>
      </c>
      <c r="I18" t="str">
        <v>Incomplete Info</v>
      </c>
      <c r="J18">
        <v>2</v>
      </c>
    </row>
    <row r="19">
      <c r="A19" t="str">
        <v>EVT-0623</v>
      </c>
      <c r="B19" t="str">
        <v>2026-06-23</v>
      </c>
      <c r="C19" t="str">
        <v>Week 4</v>
      </c>
      <c r="D19" t="str">
        <v>2026-06-22</v>
      </c>
      <c r="E19" t="str">
        <v>Day</v>
      </c>
      <c r="F19" t="str">
        <v>A. Ferreira</v>
      </c>
      <c r="G19" t="str">
        <v>Terminal 1 — Checkpoint A</v>
      </c>
      <c r="H19" t="str">
        <v>Restricted-area badge revocation list not communicated.</v>
      </c>
      <c r="I19" t="str">
        <v>Incomplete Info</v>
      </c>
      <c r="J19">
        <v>2</v>
      </c>
    </row>
    <row r="20">
      <c r="A20" t="str">
        <v>EVT-0624</v>
      </c>
      <c r="B20" t="str">
        <v>2026-06-24</v>
      </c>
      <c r="C20" t="str">
        <v>Week 4</v>
      </c>
      <c r="D20" t="str">
        <v>2026-06-22</v>
      </c>
      <c r="E20" t="str">
        <v>Swing</v>
      </c>
      <c r="F20" t="str">
        <v>R. Tanaka</v>
      </c>
      <c r="G20" t="str">
        <v>Terminal 2 — Checkpoint B</v>
      </c>
      <c r="H20" t="str">
        <v>Briefing began 20 minutes late.</v>
      </c>
      <c r="I20" t="str">
        <v>Late Briefing</v>
      </c>
      <c r="J20">
        <v>2</v>
      </c>
    </row>
    <row r="21">
      <c r="A21" t="str">
        <v>EVT-0625</v>
      </c>
      <c r="B21" t="str">
        <v>2026-06-25</v>
      </c>
      <c r="C21" t="str">
        <v>Week 4</v>
      </c>
      <c r="D21" t="str">
        <v>2026-06-22</v>
      </c>
      <c r="E21" t="str">
        <v>Night</v>
      </c>
      <c r="F21" t="str">
        <v>L. Nakamura</v>
      </c>
      <c r="G21" t="str">
        <v>Ramp Control</v>
      </c>
      <c r="H21" t="str">
        <v>No shift briefing conducted at handover.</v>
      </c>
      <c r="I21" t="str">
        <v>Missed Briefing</v>
      </c>
      <c r="J21">
        <v>2</v>
      </c>
    </row>
    <row r="22">
      <c r="A22" t="str">
        <v>EVT-0626</v>
      </c>
      <c r="B22" t="str">
        <v>2026-06-26</v>
      </c>
      <c r="C22" t="str">
        <v>Week 4</v>
      </c>
      <c r="D22" t="str">
        <v>2026-06-22</v>
      </c>
      <c r="E22" t="str">
        <v>Swing</v>
      </c>
      <c r="F22" t="str">
        <v>J. Wong</v>
      </c>
      <c r="G22" t="str">
        <v>Perimeter North</v>
      </c>
      <c r="H22" t="str">
        <v>K-9 patrol schedule change not communicated.</v>
      </c>
      <c r="I22" t="str">
        <v>Incomplete Info</v>
      </c>
      <c r="J22">
        <v>2</v>
      </c>
    </row>
    <row r="23">
      <c r="A23" t="str">
        <v>EVT-0627</v>
      </c>
      <c r="B23" t="str">
        <v>2026-06-27</v>
      </c>
      <c r="C23" t="str">
        <v>Week 4</v>
      </c>
      <c r="D23" t="str">
        <v>2026-06-22</v>
      </c>
      <c r="E23" t="str">
        <v>Day</v>
      </c>
      <c r="F23" t="str">
        <v>M. Kealoha</v>
      </c>
      <c r="G23" t="str">
        <v>Cargo Gate 4</v>
      </c>
      <c r="H23" t="str">
        <v>Briefing started 17 minutes late.</v>
      </c>
      <c r="I23" t="str">
        <v>Late Briefing</v>
      </c>
      <c r="J23">
        <v>2</v>
      </c>
    </row>
    <row r="24">
      <c r="A24" t="str">
        <v>EVT-0628</v>
      </c>
      <c r="B24" t="str">
        <v>2026-06-28</v>
      </c>
      <c r="C24" t="str">
        <v>Week 4</v>
      </c>
      <c r="D24" t="str">
        <v>2026-06-22</v>
      </c>
      <c r="E24" t="str">
        <v>Night</v>
      </c>
      <c r="F24" t="str">
        <v>S. Delgado</v>
      </c>
      <c r="G24" t="str">
        <v>Perimeter North</v>
      </c>
      <c r="H24" t="str">
        <v>Shift briefing skipped; no operational log entry recorded.</v>
      </c>
      <c r="I24" t="str">
        <v>Missed Briefing</v>
      </c>
      <c r="J24">
        <v>2</v>
      </c>
    </row>
    <row r="25">
      <c r="A25" t="str">
        <v>EVT-0629</v>
      </c>
      <c r="B25" t="str">
        <v>2026-06-29</v>
      </c>
      <c r="C25" t="str">
        <v>Week 5</v>
      </c>
      <c r="D25" t="str">
        <v>2026-06-29</v>
      </c>
      <c r="E25" t="str">
        <v>Day</v>
      </c>
      <c r="F25" t="str">
        <v>A. Ferreira</v>
      </c>
      <c r="G25" t="str">
        <v>Terminal 2 — Checkpoint B</v>
      </c>
      <c r="H25" t="str">
        <v>Updated lost-and-found handling procedure not covered.</v>
      </c>
      <c r="I25" t="str">
        <v>Incomplete Info</v>
      </c>
      <c r="J25">
        <v>2</v>
      </c>
    </row>
    <row r="26">
      <c r="A26" t="str">
        <v>EVT-0630</v>
      </c>
      <c r="B26" t="str">
        <v>2026-06-30</v>
      </c>
      <c r="C26" t="str">
        <v>Week 5</v>
      </c>
      <c r="D26" t="str">
        <v>2026-06-29</v>
      </c>
      <c r="E26" t="str">
        <v>Swing</v>
      </c>
      <c r="F26" t="str">
        <v>R. Tanaka</v>
      </c>
      <c r="G26" t="str">
        <v>Ramp Control</v>
      </c>
      <c r="H26" t="str">
        <v>Briefing began 30 minutes late following incident response.</v>
      </c>
      <c r="I26" t="str">
        <v>Late Briefing</v>
      </c>
      <c r="J26">
        <v>2</v>
      </c>
    </row>
  </sheetData>
  <ignoredErrors>
    <ignoredError numberStoredAsText="1" sqref="A1:J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KPI-13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COUNTA('Event Log'!A2:A26)</f>
      </c>
    </row>
    <row r="4">
      <c r="A4" t="str">
        <v>Total Damage Points</v>
      </c>
      <c r="B4" t="e">
        <f>SUM('Event Log'!J2:J26)</f>
      </c>
    </row>
    <row r="5">
      <c r="A5" t="str">
        <v>Avg Damage / Record</v>
      </c>
      <c r="B5" t="e">
        <f>IFERROR(AVERAGE('Event Log'!J2:J26),0)</f>
      </c>
    </row>
    <row r="6">
      <c r="A6" t="str">
        <v>Records With Damage</v>
      </c>
      <c r="B6" t="e">
        <f>COUNTIF('Event Log'!J2:J26,"&gt;0")</f>
      </c>
    </row>
    <row r="7">
      <c r="A7" t="str">
        <v>Fail / Breach Count</v>
      </c>
      <c r="B7" t="e">
        <f>COUNTIF('Event Log'!I2:I26,"*ail*")+COUNTIF('Event Log'!I2:I26,"*reach*")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KPI Definition</vt:lpstr>
      <vt:lpstr>Event Log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